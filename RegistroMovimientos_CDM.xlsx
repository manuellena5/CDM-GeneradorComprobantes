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5"/>
    <sheet state="visible" name="Tabla dinámica 1" sheetId="2" r:id="rId6"/>
    <sheet state="visible" name="Hoja 2" sheetId="3" r:id="rId7"/>
    <sheet state="visible" name="Hoja 3" sheetId="4" r:id="rId8"/>
  </sheets>
  <definedNames>
    <definedName hidden="1" localSheetId="0" name="_xlnm._FilterDatabase">MOVIMIENTOS!$A$1:$K$128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<sst xmlns="http://schemas.openxmlformats.org/spreadsheetml/2006/main" count="1346" uniqueCount="345">
  <si>
    <t>MES</t>
  </si>
  <si>
    <t>Fecha</t>
  </si>
  <si>
    <t>Cod. Rubro</t>
  </si>
  <si>
    <t>Rubro</t>
  </si>
  <si>
    <t>Concepto</t>
  </si>
  <si>
    <t>#EGRESOS</t>
  </si>
  <si>
    <t>#INGRESOS</t>
  </si>
  <si>
    <t>SALDO</t>
  </si>
  <si>
    <t>Cuenta</t>
  </si>
  <si>
    <t>Método</t>
  </si>
  <si>
    <t>Observaciones</t>
  </si>
  <si>
    <t>GASTOS ATENCION REFUERZOS|DT</t>
  </si>
  <si>
    <t>Viandas | refuerzos</t>
  </si>
  <si>
    <t>Naranja X</t>
  </si>
  <si>
    <t>Transferencia</t>
  </si>
  <si>
    <t>23 y 24</t>
  </si>
  <si>
    <t>MOVILIDAD-APORTES Y GASTOS</t>
  </si>
  <si>
    <t>Remis | Refuerzos</t>
  </si>
  <si>
    <t>Partido susanense</t>
  </si>
  <si>
    <t>Practica del 23</t>
  </si>
  <si>
    <t>ADHERENTES | COLABORADORES</t>
  </si>
  <si>
    <t>Adhesión p/enfermera | Gustavo Rodriguez</t>
  </si>
  <si>
    <t>Adhesion | MAXI CUGAT</t>
  </si>
  <si>
    <t>MUTUAL</t>
  </si>
  <si>
    <t>EFECTIVO</t>
  </si>
  <si>
    <t>Adhesion | Panaderia Landeta</t>
  </si>
  <si>
    <t>SUELDO JUGADORES LOCALES</t>
  </si>
  <si>
    <t>Adelanto sueldo | chiqui gomez</t>
  </si>
  <si>
    <t>Viandas | Pablo Irazoqui</t>
  </si>
  <si>
    <t>Jueves a Domingo (8 * 7.000)</t>
  </si>
  <si>
    <t>GASTOS ATENCION REFUERZOS</t>
  </si>
  <si>
    <t>Vianda | Refuerzos</t>
  </si>
  <si>
    <t>Pago x partidos | Cata Nieto</t>
  </si>
  <si>
    <t>TRANSFERENCIA</t>
  </si>
  <si>
    <t>Pago x partidos | FEDERICO LANDRIEL</t>
  </si>
  <si>
    <t>Adhesion Camurri</t>
  </si>
  <si>
    <t>Adhesion Victor Giordana</t>
  </si>
  <si>
    <t>Adhesion comuna landeta</t>
  </si>
  <si>
    <t>Almacen | REFUERZOS</t>
  </si>
  <si>
    <t>NARANJA X</t>
  </si>
  <si>
    <t>SUELDO DT Y CT</t>
  </si>
  <si>
    <t>Sueldo | A. Fossarelli</t>
  </si>
  <si>
    <t>Sueldo | E. Gamarino</t>
  </si>
  <si>
    <t>GASTOS MEDICOS Y FARMACIA | REINT SEG</t>
  </si>
  <si>
    <t>Farmacia | Nico Lencina</t>
  </si>
  <si>
    <t>GASTOS ATENCION JUGADORES</t>
  </si>
  <si>
    <t>Asado jugadores bebida maxi</t>
  </si>
  <si>
    <t>Pago x Partidos | RUBEN ÑAÑEZ</t>
  </si>
  <si>
    <t>Pago x Partidos | HERNAN SANCHEZ</t>
  </si>
  <si>
    <t>Pago x Partidos | J. DEL VALLE</t>
  </si>
  <si>
    <t>Pago x Partidos | ALEXIS MENDOZA</t>
  </si>
  <si>
    <t>Pago x Partidos | FEDERICO BERNAUS</t>
  </si>
  <si>
    <t>Pago Resto combustible Enero y Febrero</t>
  </si>
  <si>
    <t>Adelanto Sueldo | Pablo Irazoqui</t>
  </si>
  <si>
    <t>Pago x Partidos | NAHUEL VIJARRA</t>
  </si>
  <si>
    <t>Pago x Partidos | JUAN PABLO GOMEZ</t>
  </si>
  <si>
    <t>Pago x Partidos | DANTE POCHETTINO</t>
  </si>
  <si>
    <t>Pago x Partidos | DANIEL VILLARRUEL</t>
  </si>
  <si>
    <t>PEÑAS - INGRESOS VARIOS</t>
  </si>
  <si>
    <t>Peña febrero tarjeta caco</t>
  </si>
  <si>
    <t>Pago x Partidos | FRANCO PAIRETTI</t>
  </si>
  <si>
    <t>Pago x Partidos | LENCINA NICOLAS</t>
  </si>
  <si>
    <t>Pago x Partidos | ESTEBAN LECUIMA</t>
  </si>
  <si>
    <t>Pago x Partidos | J. DIAZ CHANCLA</t>
  </si>
  <si>
    <t>Pago x Partidos | AGUSTIN BERNAUS</t>
  </si>
  <si>
    <t>Pago limpieza peña viernes</t>
  </si>
  <si>
    <t>Asado refuerzos</t>
  </si>
  <si>
    <t>Entradas pablo e hijo Peña Marzo</t>
  </si>
  <si>
    <t>INDUMENTARIA Y MERCH.</t>
  </si>
  <si>
    <t>camiseta hincha | Partido vs Susanense</t>
  </si>
  <si>
    <t>FLETE VASOS 2DO</t>
  </si>
  <si>
    <t>Sabado 14 a Miercoles 18 (2 dias de partido) (8*7.000)</t>
  </si>
  <si>
    <t>SEGURO JUGADORES Y CANCHA</t>
  </si>
  <si>
    <t>SEGURO ESPECTADOR MARZO</t>
  </si>
  <si>
    <t>SEGURO ESPECTADOR ABRIL</t>
  </si>
  <si>
    <t>FILMACION | CANCHA</t>
  </si>
  <si>
    <t>FILMACION FIGHERA</t>
  </si>
  <si>
    <t>SERVICIO MEDICO Y AMBULANCIA | CANCHA</t>
  </si>
  <si>
    <t>ENFERMERA</t>
  </si>
  <si>
    <t>Viandas Refuerzos</t>
  </si>
  <si>
    <t>Adhesion Pablo Albrecht</t>
  </si>
  <si>
    <t>Peña Martes</t>
  </si>
  <si>
    <t>SERVICIO GIMNASIO</t>
  </si>
  <si>
    <t>Gym hongo y maximo</t>
  </si>
  <si>
    <t>Adhesion Rogelio Bosso</t>
  </si>
  <si>
    <t>Adhesion Peña La Grasa</t>
  </si>
  <si>
    <t>Adhesion Nestor Zucco</t>
  </si>
  <si>
    <t>Adhesion Despensa Los Hermanitos</t>
  </si>
  <si>
    <t>Adhesion Ignacio Gerlero</t>
  </si>
  <si>
    <t>Farmacia 1 Hernan Sanchez</t>
  </si>
  <si>
    <t>FLETE VASOS</t>
  </si>
  <si>
    <t>ENTRADAS | CANCHA</t>
  </si>
  <si>
    <t>Partido vs La Emilia Visitante</t>
  </si>
  <si>
    <t>Entrada Pablo e Hijo | Pablo Irazoqui</t>
  </si>
  <si>
    <t>Martes 10 a viernes 13 (6*7.000)</t>
  </si>
  <si>
    <t>Viaticos | Pablo Irazoqui</t>
  </si>
  <si>
    <t>Pago Camisetas Temporada 2026 | Chombas Subcomision</t>
  </si>
  <si>
    <t>COBROS Y PAGOS PASE JUGADOR</t>
  </si>
  <si>
    <t>Pago Prestamo Nico Lencina</t>
  </si>
  <si>
    <t>LIGA - FICHAJES Y MULTAS</t>
  </si>
  <si>
    <t>Inscripcion equipo mayores</t>
  </si>
  <si>
    <t>Pago Seguro Jugadores a Com. Directiva</t>
  </si>
  <si>
    <t>Adhesion Mucho Gusto Camisetas Entrenamiento</t>
  </si>
  <si>
    <t>Adhesion Franco</t>
  </si>
  <si>
    <t>Buffet</t>
  </si>
  <si>
    <t>Comida</t>
  </si>
  <si>
    <t>Pilusos x 4</t>
  </si>
  <si>
    <t>Sorteo 2 camisetas y numeritos</t>
  </si>
  <si>
    <t>Show camilo Adhesion comuna y pago</t>
  </si>
  <si>
    <t>Adhesion Colab. Negro Lazzo</t>
  </si>
  <si>
    <t>Adhesion Jorge Benedetto</t>
  </si>
  <si>
    <t>ENERGIA ELECTRICA</t>
  </si>
  <si>
    <t>Pago Luz</t>
  </si>
  <si>
    <t>Adhesion Di Tondo</t>
  </si>
  <si>
    <t>Combustible Chancla Diaz</t>
  </si>
  <si>
    <t>Aporte Di Tondo</t>
  </si>
  <si>
    <t>compra de tickets papel</t>
  </si>
  <si>
    <t>TRIBUNA | CANCHA</t>
  </si>
  <si>
    <t>Farmacia Blokium | Nico Lencina</t>
  </si>
  <si>
    <t>Conjuntos Provimi + Entrenamiento</t>
  </si>
  <si>
    <t>Adhesion | Giuliani Flavia</t>
  </si>
  <si>
    <t>Consultas Siegel | Pairetti</t>
  </si>
  <si>
    <t>Consultas Siegel | Lencina</t>
  </si>
  <si>
    <t>Electro Siegel | Mansilla</t>
  </si>
  <si>
    <t>TRANSFERENCIA ENTRE CUENTAS</t>
  </si>
  <si>
    <t>Liquidacion plazo fijo a Naranja X</t>
  </si>
  <si>
    <t>INTERESES y GASTOS Cuenta</t>
  </si>
  <si>
    <t>Intereses plazo fijo</t>
  </si>
  <si>
    <t>Alquiler Marzo | Refuerzos</t>
  </si>
  <si>
    <t>Adhesion Ibarra Cont. Rural</t>
  </si>
  <si>
    <t>Viandas | Pablo Irazqui</t>
  </si>
  <si>
    <t>2 al 6 de Marzo (7*7.000)</t>
  </si>
  <si>
    <t>Asado jugadores bebida Maxi</t>
  </si>
  <si>
    <t>Arreglo casa Irma | Pablo Irazoqui</t>
  </si>
  <si>
    <t>Venta Piluso Nahuel Martinez</t>
  </si>
  <si>
    <t>Almacen Hector Granero | Refuerzos</t>
  </si>
  <si>
    <t>Almacen Asado | Refuerzos</t>
  </si>
  <si>
    <t>Viandas | Refuerzos</t>
  </si>
  <si>
    <t>Viandas semana anterior | Pablo Irazoqui</t>
  </si>
  <si>
    <t>Sesiones Faidich | Nico Bergamasco</t>
  </si>
  <si>
    <t>Consultas Siegel | Francisco Calandra</t>
  </si>
  <si>
    <t>Gastos Farmacia | Mario Miño Cancha</t>
  </si>
  <si>
    <t>Limpieza Casa | Juan Lazaneo</t>
  </si>
  <si>
    <t>Naranja Intereses</t>
  </si>
  <si>
    <t>Electro Siegel | J. M. Lazaneo</t>
  </si>
  <si>
    <t>Remis El trébol | Refuerzos</t>
  </si>
  <si>
    <t>Partido Castelar</t>
  </si>
  <si>
    <t>Adhesión | Ariel Lacelli</t>
  </si>
  <si>
    <t>REC.PUBLICIDAD ESTATICA Y GASTO</t>
  </si>
  <si>
    <t>Pago de Lonas</t>
  </si>
  <si>
    <t>Kinesio giuli | Nico Lencina</t>
  </si>
  <si>
    <t>10 sesiones</t>
  </si>
  <si>
    <t>Adhesión | Héctor Ellena</t>
  </si>
  <si>
    <t>Efectivo</t>
  </si>
  <si>
    <t>Ecografia | Cata Nieto</t>
  </si>
  <si>
    <t>Kinesio giuli | F. Calandra</t>
  </si>
  <si>
    <t>SUM de #EGRESOS</t>
  </si>
  <si>
    <t>SUM de #INGRESOS</t>
  </si>
  <si>
    <t>Suma total</t>
  </si>
  <si>
    <t>Cód. Rubro</t>
  </si>
  <si>
    <t>CONCEPTO</t>
  </si>
  <si>
    <t># EGRESOS</t>
  </si>
  <si>
    <t># INGRESOS</t>
  </si>
  <si>
    <t># SALDO</t>
  </si>
  <si>
    <t>CUENTA</t>
  </si>
  <si>
    <t>MODO PAGO</t>
  </si>
  <si>
    <t>18267.16</t>
  </si>
  <si>
    <t>18,224,572.29</t>
  </si>
  <si>
    <t>-15,000.00</t>
  </si>
  <si>
    <t>18,209,572.29</t>
  </si>
  <si>
    <t>-20,000.00</t>
  </si>
  <si>
    <t>18,189,572.29</t>
  </si>
  <si>
    <t>-55,000.00</t>
  </si>
  <si>
    <t>18,134,572.29</t>
  </si>
  <si>
    <t>-39,303.64</t>
  </si>
  <si>
    <t>18,095,268.65</t>
  </si>
  <si>
    <t>-220,000.00</t>
  </si>
  <si>
    <t>17,875,268.65</t>
  </si>
  <si>
    <t>-17,770.00</t>
  </si>
  <si>
    <t>17,857,498.65</t>
  </si>
  <si>
    <t>-90,000.00</t>
  </si>
  <si>
    <t>17,767,498.65</t>
  </si>
  <si>
    <t>-110,000.00</t>
  </si>
  <si>
    <t>17,657,498.65</t>
  </si>
  <si>
    <t>15,000.00</t>
  </si>
  <si>
    <t>17,672,498.65</t>
  </si>
  <si>
    <t>-24,664.00</t>
  </si>
  <si>
    <t>17,647,834.65</t>
  </si>
  <si>
    <t>-24,024.00</t>
  </si>
  <si>
    <t>17,623,810.65</t>
  </si>
  <si>
    <t>-84,000.00</t>
  </si>
  <si>
    <t>17,539,810.65</t>
  </si>
  <si>
    <t>-600,000.00</t>
  </si>
  <si>
    <t>16,939,810.65</t>
  </si>
  <si>
    <t>-21,000.00</t>
  </si>
  <si>
    <t>16,918,810.65</t>
  </si>
  <si>
    <t>-200,000.00</t>
  </si>
  <si>
    <t>16,718,810.65</t>
  </si>
  <si>
    <t>16,518,810.65</t>
  </si>
  <si>
    <t>16,318,810.65</t>
  </si>
  <si>
    <t>30,000.00</t>
  </si>
  <si>
    <t>16,348,810.65</t>
  </si>
  <si>
    <t>-45,000.00</t>
  </si>
  <si>
    <t>16,303,810.65</t>
  </si>
  <si>
    <t>16,258,810.65</t>
  </si>
  <si>
    <t>16,243,810.65</t>
  </si>
  <si>
    <t>-3,000,000.00</t>
  </si>
  <si>
    <t>3,000,000.00</t>
  </si>
  <si>
    <t>78,252.33</t>
  </si>
  <si>
    <t>16,322,062.98</t>
  </si>
  <si>
    <t>-62,000.00</t>
  </si>
  <si>
    <t>16,260,062.98</t>
  </si>
  <si>
    <t>-18,000.00</t>
  </si>
  <si>
    <t>16,242,062.98</t>
  </si>
  <si>
    <t>-5,000.00</t>
  </si>
  <si>
    <t>16,237,062.98</t>
  </si>
  <si>
    <t>-16,513.06</t>
  </si>
  <si>
    <t>16,220,549.92</t>
  </si>
  <si>
    <t>-490,000.00</t>
  </si>
  <si>
    <t>15,730,549.92</t>
  </si>
  <si>
    <t>15,714,036.86</t>
  </si>
  <si>
    <t>15,729,036.86</t>
  </si>
  <si>
    <t>-234,848.90</t>
  </si>
  <si>
    <t>15,494,187.96</t>
  </si>
  <si>
    <t>125,000.00</t>
  </si>
  <si>
    <t>15,619,187.96</t>
  </si>
  <si>
    <t>-54,884.57</t>
  </si>
  <si>
    <t>15,564,303.39</t>
  </si>
  <si>
    <t>55,000.00</t>
  </si>
  <si>
    <t>15,619,303.39</t>
  </si>
  <si>
    <t>3/13/2026</t>
  </si>
  <si>
    <t>15,557,303.39</t>
  </si>
  <si>
    <t>-1,822,296.20</t>
  </si>
  <si>
    <t>13,735,007.19</t>
  </si>
  <si>
    <t>-400,000.00</t>
  </si>
  <si>
    <t>13,335,007.19</t>
  </si>
  <si>
    <t>-205,000.00</t>
  </si>
  <si>
    <t>13,130,007.19</t>
  </si>
  <si>
    <t>-301,716.00</t>
  </si>
  <si>
    <t>12,828,291.19</t>
  </si>
  <si>
    <t>200,000.00</t>
  </si>
  <si>
    <t>13,028,291.19</t>
  </si>
  <si>
    <t>-300,000.00</t>
  </si>
  <si>
    <t>500,000.00</t>
  </si>
  <si>
    <t>13,228,291.19</t>
  </si>
  <si>
    <t>-1,045,800.00</t>
  </si>
  <si>
    <t>1,952,000.00</t>
  </si>
  <si>
    <t>14,134,491.19</t>
  </si>
  <si>
    <t>-1,335,340.00</t>
  </si>
  <si>
    <t>1,870,000.00</t>
  </si>
  <si>
    <t>14,669,151.19</t>
  </si>
  <si>
    <t>60,000.00</t>
  </si>
  <si>
    <t>14,729,151.19</t>
  </si>
  <si>
    <t>-70,000.00</t>
  </si>
  <si>
    <t>301,000.00</t>
  </si>
  <si>
    <t>14,960,151.19</t>
  </si>
  <si>
    <t>-500,000.00</t>
  </si>
  <si>
    <t>400,000.00</t>
  </si>
  <si>
    <t>14,860,151.19</t>
  </si>
  <si>
    <t>15,360,151.19</t>
  </si>
  <si>
    <t>100,000.00</t>
  </si>
  <si>
    <t>15,460,151.19</t>
  </si>
  <si>
    <t>3/14/2026</t>
  </si>
  <si>
    <t>15,390,151.19</t>
  </si>
  <si>
    <t>3/15/2026</t>
  </si>
  <si>
    <t>15,370,151.19</t>
  </si>
  <si>
    <t>476,000.00</t>
  </si>
  <si>
    <t>15,846,151.19</t>
  </si>
  <si>
    <t>81,000.00</t>
  </si>
  <si>
    <t>15,927,151.19</t>
  </si>
  <si>
    <t>15,872,151.19</t>
  </si>
  <si>
    <t>3/18/2026</t>
  </si>
  <si>
    <t>-16,002.00</t>
  </si>
  <si>
    <t>15,856,149.19</t>
  </si>
  <si>
    <t>-16,000.00</t>
  </si>
  <si>
    <t>15,840,149.19</t>
  </si>
  <si>
    <t>-80,000.00</t>
  </si>
  <si>
    <t>15,760,149.19</t>
  </si>
  <si>
    <t>-85,000.00</t>
  </si>
  <si>
    <t>15,675,149.19</t>
  </si>
  <si>
    <t>3/16/2026</t>
  </si>
  <si>
    <t>-23,450.00</t>
  </si>
  <si>
    <t>15,651,699.19</t>
  </si>
  <si>
    <t>-29,000.00</t>
  </si>
  <si>
    <t>15,622,699.19</t>
  </si>
  <si>
    <t>3/17/2026</t>
  </si>
  <si>
    <t>5,000.00</t>
  </si>
  <si>
    <t>15,627,699.19</t>
  </si>
  <si>
    <t>20,000.00</t>
  </si>
  <si>
    <t>15,647,699.19</t>
  </si>
  <si>
    <t>-60,000.00</t>
  </si>
  <si>
    <t>15,587,699.19</t>
  </si>
  <si>
    <t>-50,000.00</t>
  </si>
  <si>
    <t>15,537,699.19</t>
  </si>
  <si>
    <t>300,000.00</t>
  </si>
  <si>
    <t>15,837,699.19</t>
  </si>
  <si>
    <t>70,000.00</t>
  </si>
  <si>
    <t>15,907,699.19</t>
  </si>
  <si>
    <t>15,937,699.19</t>
  </si>
  <si>
    <t>50,000.00</t>
  </si>
  <si>
    <t>15,987,699.19</t>
  </si>
  <si>
    <t>16,087,699.19</t>
  </si>
  <si>
    <t>16,025,699.19</t>
  </si>
  <si>
    <t>-112,000.00</t>
  </si>
  <si>
    <t>15,913,699.19</t>
  </si>
  <si>
    <t>15,963,699.19</t>
  </si>
  <si>
    <t>3/19/2026</t>
  </si>
  <si>
    <t>15,993,699.19</t>
  </si>
  <si>
    <t>-48,000.00</t>
  </si>
  <si>
    <t>15,945,699.19</t>
  </si>
  <si>
    <t>3/20/2026</t>
  </si>
  <si>
    <t>15,745,699.19</t>
  </si>
  <si>
    <t>15,245,699.19</t>
  </si>
  <si>
    <t>14,945,699.19</t>
  </si>
  <si>
    <t>-140,000.00</t>
  </si>
  <si>
    <t>14,805,699.19</t>
  </si>
  <si>
    <t>14,725,699.19</t>
  </si>
  <si>
    <t>-385,000.00</t>
  </si>
  <si>
    <t>14,340,699.19</t>
  </si>
  <si>
    <t>14,290,699.19</t>
  </si>
  <si>
    <t>14,240,699.19</t>
  </si>
  <si>
    <t>-120,000.00</t>
  </si>
  <si>
    <t>14,120,699.19</t>
  </si>
  <si>
    <t>14,000,699.19</t>
  </si>
  <si>
    <t>-240,000.00</t>
  </si>
  <si>
    <t>13,760,699.19</t>
  </si>
  <si>
    <t>10,000.00</t>
  </si>
  <si>
    <t>13,770,699.19</t>
  </si>
  <si>
    <t>13,570,699.19</t>
  </si>
  <si>
    <t>-170,000.00</t>
  </si>
  <si>
    <t>13,400,699.19</t>
  </si>
  <si>
    <t>-460,000.00</t>
  </si>
  <si>
    <t>12,940,699.19</t>
  </si>
  <si>
    <t>12,720,699.19</t>
  </si>
  <si>
    <t>12,580,699.19</t>
  </si>
  <si>
    <t>12,560,699.19</t>
  </si>
  <si>
    <t>-30,000.00</t>
  </si>
  <si>
    <t>12,530,699.19</t>
  </si>
  <si>
    <t>3/21/2026</t>
  </si>
  <si>
    <t>2,000,000.00</t>
  </si>
  <si>
    <t>14,560,699.19</t>
  </si>
  <si>
    <t>17,560,699.19</t>
  </si>
  <si>
    <t>17,760,699.19</t>
  </si>
  <si>
    <t>-21,400.00</t>
  </si>
  <si>
    <t>17,739,299.19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</si>
</sst>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m"/>
    <numFmt numFmtId="165" formatCode="d/MM/yyyy"/>
    <numFmt numFmtId="166" formatCode="[$ $]#,##0.00"/>
    <numFmt numFmtId="167" formatCode="d/m/yyyy"/>
    <numFmt numFmtId="168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6.0"/>
      <color rgb="FF000000"/>
      <name val="Calibri"/>
    </font>
    <font>
      <sz val="12.0"/>
      <color rgb="FF000000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4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2" fontId="3" numFmtId="166" xfId="0" applyAlignment="1" applyFill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readingOrder="0" shrinkToFit="0" vertical="bottom" wrapText="0"/>
    </xf>
    <xf borderId="1" fillId="2" fontId="3" numFmtId="166" xfId="0" applyAlignment="1" applyBorder="1" applyFont="1" applyNumberFormat="1">
      <alignment readingOrder="0" shrinkToFit="0" vertical="bottom" wrapText="0"/>
    </xf>
    <xf borderId="1" fillId="0" fontId="2" numFmtId="165" xfId="0" applyAlignment="1" applyBorder="1" applyFont="1" applyNumberFormat="1">
      <alignment readingOrder="0" shrinkToFit="0" vertical="bottom" wrapText="0"/>
    </xf>
    <xf borderId="2" fillId="0" fontId="2" numFmtId="164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166" xfId="0" applyAlignment="1" applyBorder="1" applyFont="1" applyNumberFormat="1">
      <alignment readingOrder="0" shrinkToFit="0" vertical="bottom" wrapText="0"/>
    </xf>
    <xf borderId="1" fillId="0" fontId="3" numFmtId="166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2" fillId="0" fontId="1" numFmtId="164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2" fontId="3" numFmtId="166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166" xfId="0" applyFont="1" applyNumberFormat="1"/>
    <xf borderId="0" fillId="0" fontId="5" numFmtId="0" xfId="0" applyAlignment="1" applyFont="1">
      <alignment horizontal="center" readingOrder="0" shrinkToFit="0" vertical="bottom" wrapText="0"/>
    </xf>
    <xf borderId="1" fillId="0" fontId="2" numFmtId="167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1" numFmtId="168" xfId="0" applyAlignment="1" applyFont="1" applyNumberFormat="1">
      <alignment readingOrder="0"/>
    </xf>
    <xf borderId="1" fillId="0" fontId="2" numFmtId="167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MOVIMI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oja 3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21" sheet="MOVIMIENTOS"/>
  </cacheSource>
  <cacheFields>
    <cacheField name="MES" numFmtId="164">
      <sharedItems containsSemiMixedTypes="0" containsDate="1" containsString="0">
        <d v="2026-03-03T00:00:00Z"/>
      </sharedItems>
    </cacheField>
    <cacheField name="Fecha" numFmtId="165">
      <sharedItems containsSemiMixedTypes="0" containsDate="1" containsString="0">
        <d v="2026-03-24T00:00:00Z"/>
        <d v="2026-03-23T00:00:00Z"/>
        <d v="2026-03-22T00:00:00Z"/>
        <d v="2026-03-21T00:00:00Z"/>
        <d v="2026-03-20T00:00:00Z"/>
        <d v="2026-03-19T00:00:00Z"/>
        <d v="2026-03-18T00:00:00Z"/>
        <d v="2026-03-17T00:00:00Z"/>
        <d v="2026-03-16T00:00:00Z"/>
        <d v="2026-03-15T00:00:00Z"/>
        <d v="2026-03-14T00:00:00Z"/>
        <d v="2026-03-13T00:00:00Z"/>
        <d v="2026-03-12T00:00:00Z"/>
        <d v="2026-03-11T00:00:00Z"/>
        <d v="2026-03-10T00:00:00Z"/>
        <d v="2026-03-09T00:00:00Z"/>
        <d v="2026-03-06T00:00:00Z"/>
        <d v="2026-03-05T00:00:00Z"/>
        <d v="2026-03-04T00:00:00Z"/>
        <d v="2026-03-03T00:00:00Z"/>
        <d v="2026-03-01T00:00:00Z"/>
      </sharedItems>
    </cacheField>
    <cacheField name="Cod. Rubro" numFmtId="0">
      <sharedItems containsSemiMixedTypes="0" containsString="0" containsNumber="1" containsInteger="1">
        <n v="37.0"/>
        <n v="16.0"/>
        <n v="6.0"/>
        <n v="19.0"/>
        <n v="18.0"/>
        <n v="21.0"/>
        <n v="20.0"/>
        <n v="7.0"/>
        <n v="35.0"/>
        <n v="23.0"/>
        <n v="14.0"/>
        <n v="36.0"/>
        <n v="17.0"/>
        <n v="1.0"/>
        <n v="11.0"/>
        <n v="10.0"/>
        <n v="26.0"/>
        <n v="4.0"/>
        <n v="49.0"/>
        <n v="9.0"/>
      </sharedItems>
    </cacheField>
    <cacheField name="Rubro" numFmtId="0">
      <sharedItems>
        <s v="GASTOS ATENCION REFUERZOS|DT"/>
        <s v="MOVILIDAD-APORTES Y GASTOS"/>
        <s v="ADHERENTES | COLABORADORES"/>
        <s v="SUELDO JUGADORES LOCALES"/>
        <s v="GASTOS ATENCION REFUERZOS"/>
        <s v="SUELDO DT Y CT"/>
        <s v="GASTOS MEDICOS Y FARMACIA | REINT SEG"/>
        <s v="GASTOS ATENCION JUGADORES"/>
        <s v="PEÑAS - INGRESOS VARIOS"/>
        <s v="INDUMENTARIA Y MERCH."/>
        <s v="SEGURO JUGADORES Y CANCHA"/>
        <s v="FILMACION | CANCHA"/>
        <s v="SERVICIO MEDICO Y AMBULANCIA | CANCHA"/>
        <s v="SERVICIO GIMNASIO"/>
        <s v="ENTRADAS | CANCHA"/>
        <s v="COBROS Y PAGOS PASE JUGADOR"/>
        <s v="LIGA - FICHAJES Y MULTAS"/>
        <s v="ENERGIA ELECTRICA"/>
        <s v="TRIBUNA | CANCHA"/>
        <s v="TRANSFERENCIA ENTRE CUENTAS"/>
        <s v="INTERESES y GASTOS Cuenta"/>
      </sharedItems>
    </cacheField>
    <cacheField name="Concepto" numFmtId="0">
      <sharedItems>
        <s v="Viandas | refuerzos"/>
        <s v="Remis | Refuerzos"/>
        <s v="Adhesión p/enfermera | Gustavo Rodriguez"/>
        <s v="Adhesion | MAXI CUGAT"/>
        <s v="Adhesion | Panaderia Landeta"/>
        <s v="Adelanto sueldo | chiqui gomez"/>
        <s v="Viandas | Pablo Irazoqui"/>
        <s v="Vianda | Refuerzos"/>
        <s v="Pago x partidos | Cata Nieto"/>
        <s v="Pago x partidos | FEDERICO LANDRIEL"/>
        <s v="Adhesion Camurri"/>
        <s v="Adhesion Victor Giordana"/>
        <s v="Adhesion comuna landeta"/>
        <s v="Almacen | REFUERZOS"/>
        <s v="Sueldo | A. Fossarelli"/>
        <s v="Sueldo | E. Gamarino"/>
        <s v="Farmacia | Nico Lencina"/>
        <s v="Asado jugadores bebida maxi"/>
        <s v="Pago x Partidos | RUBEN ÑAÑEZ"/>
        <s v="Pago x Partidos | HERNAN SANCHEZ"/>
        <s v="Pago x Partidos | J. DEL VALLE"/>
        <s v="Pago x Partidos | ALEXIS MENDOZA"/>
        <s v="Pago x Partidos | FEDERICO BERNAUS"/>
        <s v="Pago Resto combustible Enero y Febrero"/>
        <s v="Adelanto Sueldo | Pablo Irazoqui"/>
        <s v="Pago x Partidos | NAHUEL VIJARRA"/>
        <s v="Pago x Partidos | JUAN PABLO GOMEZ"/>
        <s v="Pago x Partidos | DANTE POCHETTINO"/>
        <s v="Pago x Partidos | DANIEL VILLARRUEL"/>
        <s v="Peña febrero tarjeta caco"/>
        <s v="Pago x Partidos | FRANCO PAIRETTI"/>
        <s v="Pago x Partidos | LENCINA NICOLAS"/>
        <s v="Pago x Partidos | ESTEBAN LECUIMA"/>
        <s v="Pago x Partidos | J. DIAZ CHANCLA"/>
        <s v="Pago x Partidos | AGUSTIN BERNAUS"/>
        <s v="Pago limpieza peña viernes"/>
        <s v="Asado refuerzos"/>
        <s v="Entradas pablo e hijo Peña Marzo"/>
        <s v="camiseta hincha | Partido vs Susanense"/>
        <s v="FLETE VASOS 2DO"/>
        <s v="SEGURO ESPECTADOR MARZO"/>
        <s v="SEGURO ESPECTADOR ABRIL"/>
        <s v="FILMACION FIGHERA"/>
        <s v="ENFERMERA"/>
        <s v="Viandas Refuerzos"/>
        <s v="Adhesion Pablo Albrecht"/>
        <s v="Peña Martes"/>
        <s v="Gym hongo y maximo"/>
        <s v="Adhesion Rogelio Bosso"/>
        <s v="Adhesion Peña La Grasa"/>
        <s v="Adhesion Nestor Zucco"/>
        <s v="Adhesion Despensa Los Hermanitos"/>
        <s v="Adhesion Ignacio Gerlero"/>
        <s v="Farmacia 1 Hernan Sanchez"/>
        <s v="FLETE VASOS"/>
        <s v="Partido vs La Emilia Visitante"/>
        <s v="Entrada Pablo e Hijo | Pablo Irazoqui"/>
        <s v="Viaticos | Pablo Irazoqui"/>
        <s v="Pago Camisetas Temporada 2026 | Chombas Subcomision"/>
        <s v="Pago Prestamo Nico Lencina"/>
        <s v="Inscripcion equipo mayores"/>
        <s v="Pago Seguro Jugadores a Com. Directiva"/>
        <s v="Adhesion Mucho Gusto Camisetas Entrenamiento"/>
        <s v="Adhesion Franco"/>
        <s v="Buffet"/>
        <s v="Comida"/>
        <s v="Pilusos x 4"/>
        <s v="Sorteo 2 camisetas y numeritos"/>
        <s v="Show camilo Adhesion comuna y pago"/>
        <s v="Adhesion Colab. Negro Lazzo"/>
        <s v="Adhesion Jorge Benedetto"/>
        <s v="Pago Luz"/>
        <s v="Adhesion Di Tondo"/>
        <s v="Combustible Chancla Diaz"/>
        <s v="Aporte Di Tondo"/>
        <s v="compra de tickets papel"/>
        <s v="Farmacia Blokium | Nico Lencina"/>
        <s v="Conjuntos Provimi + Entrenamiento"/>
        <s v="Adhesion | Giuliani Flavia"/>
        <s v="Consultas Siegel | Pairetti"/>
        <s v="Consultas Siegel | Lencina"/>
        <s v="Electro Siegel | Mansilla"/>
        <s v="Liquidacion plazo fijo a Naranja X"/>
        <s v="Intereses plazo fijo"/>
        <s v="Alquiler Marzo | Refuerzos"/>
        <s v="Adhesion Ibarra Cont. Rural"/>
        <s v="Viandas | Pablo Irazqui"/>
        <s v="Arreglo casa Irma | Pablo Irazoqui"/>
        <s v="Venta Piluso Nahuel Martinez"/>
        <s v="Almacen Hector Granero | Refuerzos"/>
        <s v="Almacen Asado | Refuerzos"/>
        <s v="Viandas semana anterior | Pablo Irazoqui"/>
        <s v="Sesiones Faidich | Nico Bergamasco"/>
        <s v="Consultas Siegel | Francisco Calandra"/>
        <s v="Gastos Farmacia | Mario Miño Cancha"/>
        <s v="Limpieza Casa | Juan Lazaneo"/>
        <s v="Naranja Intereses"/>
        <s v="Electro Siegel | J. M. Lazaneo"/>
      </sharedItems>
    </cacheField>
    <cacheField name="#EGRESOS" numFmtId="166">
      <sharedItems containsString="0" containsBlank="1" containsNumber="1">
        <n v="-42000.0"/>
        <n v="-110000.0"/>
        <n v="-62000.0"/>
        <m/>
        <n v="-100000.0"/>
        <n v="-56000.0"/>
        <n v="-98000.0"/>
        <n v="-200000.0"/>
        <n v="-50000.0"/>
        <n v="-21400.0"/>
        <n v="-250000.0"/>
        <n v="-500000.0"/>
        <n v="-34781.8"/>
        <n v="-54000.0"/>
        <n v="-300000.0"/>
        <n v="-140000.0"/>
        <n v="-80000.0"/>
        <n v="-385000.0"/>
        <n v="-120000.0"/>
        <n v="-240000.0"/>
        <n v="-170000.0"/>
        <n v="-460000.0"/>
        <n v="-220000.0"/>
        <n v="-20000.0"/>
        <n v="-30000.0"/>
        <n v="-48000.0"/>
        <n v="-16002.0"/>
        <n v="-16000.0"/>
        <n v="-85000.0"/>
        <n v="-112000.0"/>
        <n v="-60000.0"/>
        <n v="-23450.0"/>
        <n v="-29000.0"/>
        <n v="-55000.0"/>
        <n v="-70000.0"/>
        <n v="-1822296.2"/>
        <n v="-400000.0"/>
        <n v="-205000.0"/>
        <n v="-301716.0"/>
        <n v="-1045800.0"/>
        <n v="-1335340.0"/>
        <n v="-234848.9"/>
        <n v="-54884.57"/>
        <n v="-18000.0"/>
        <n v="-5000.0"/>
        <n v="-16513.06"/>
        <n v="-490000.0"/>
        <n v="-45000.0"/>
        <n v="-15000.0"/>
        <n v="-3000000.0"/>
        <n v="-49000.0"/>
        <n v="-24664.0"/>
        <n v="-24024.0"/>
        <n v="-84000.0"/>
        <n v="-600000.0"/>
        <n v="-21000.0"/>
        <n v="-17770.0"/>
        <n v="-90000.0"/>
        <n v="-39303.64"/>
      </sharedItems>
    </cacheField>
    <cacheField name="#INGRESOS" numFmtId="0">
      <sharedItems containsString="0" containsBlank="1" containsNumber="1">
        <m/>
        <n v="85000.0"/>
        <n v="50000.0"/>
        <n v="2000000.0"/>
        <n v="3000000.0"/>
        <n v="200000.0"/>
        <n v="10000.0"/>
        <n v="30000.0"/>
        <n v="5000.0"/>
        <n v="20000.0"/>
        <n v="300000.0"/>
        <n v="70000.0"/>
        <n v="100000.0"/>
        <n v="476000.0"/>
        <n v="81000.0"/>
        <n v="500000.0"/>
        <n v="1952000.0"/>
        <n v="1870000.0"/>
        <n v="60000.0"/>
        <n v="301000.0"/>
        <n v="400000.0"/>
        <n v="125000.0"/>
        <n v="55000.0"/>
        <n v="15000.0"/>
        <n v="78252.33"/>
        <n v="18267.16"/>
      </sharedItems>
    </cacheField>
    <cacheField name="SALDO" numFmtId="166">
      <sharedItems containsSemiMixedTypes="0" containsString="0" containsNumber="1">
        <n v="1.402769919E7"/>
        <n v="1.406969919E7"/>
        <n v="1.417969919E7"/>
        <n v="1.424169919E7"/>
        <n v="1.415669919E7"/>
        <n v="1.410669919E7"/>
        <n v="1.405669919E7"/>
        <n v="1.421269919E7"/>
        <n v="1.431069919E7"/>
        <n v="1.451069919E7"/>
        <n v="1.456069919E7"/>
        <n v="1.756069919E7"/>
        <n v="1.776069919E7"/>
        <n v="1.773929919E7"/>
        <n v="1.4906917389999999E7"/>
        <n v="1.5156917389999999E7"/>
        <n v="1.5656917389999999E7"/>
        <n v="1.569169919E7"/>
        <n v="1.574569919E7"/>
        <n v="1.524569919E7"/>
        <n v="1.494569919E7"/>
        <n v="1.480569919E7"/>
        <n v="1.472569919E7"/>
        <n v="1.434069919E7"/>
        <n v="1.429069919E7"/>
        <n v="1.424069919E7"/>
        <n v="1.412069919E7"/>
        <n v="1.400069919E7"/>
        <n v="1.376069919E7"/>
        <n v="1.377069919E7"/>
        <n v="1.357069919E7"/>
        <n v="1.340069919E7"/>
        <n v="1.294069919E7"/>
        <n v="1.272069919E7"/>
        <n v="1.258069919E7"/>
        <n v="1.256069919E7"/>
        <n v="1.253069919E7"/>
        <n v="1.599369919E7"/>
        <n v="1.594569919E7"/>
        <n v="1.580014919E7"/>
        <n v="1.585614919E7"/>
        <n v="1.584014919E7"/>
        <n v="1.576014919E7"/>
        <n v="1.567514919E7"/>
        <n v="1.602569919E7"/>
        <n v="1.591369919E7"/>
        <n v="1.596369919E7"/>
        <n v="1.562769919E7"/>
        <n v="1.564769919E7"/>
        <n v="1.558769919E7"/>
        <n v="1.553769919E7"/>
        <n v="1.583769919E7"/>
        <n v="1.590769919E7"/>
        <n v="1.593769919E7"/>
        <n v="1.598769919E7"/>
        <n v="1.608769919E7"/>
        <n v="1.565169919E7"/>
        <n v="1.562269919E7"/>
        <n v="1.537015119E7"/>
        <n v="1.584615119E7"/>
        <n v="1.592715119E7"/>
        <n v="1.587215119E7"/>
        <n v="1.539015119E7"/>
        <n v="1.546530339E7"/>
        <n v="1.543530339E7"/>
        <n v="1.547730339E7"/>
        <n v="1.555730339E7"/>
        <n v="1.373500719E7"/>
        <n v="1.333500719E7"/>
        <n v="1.313000719E7"/>
        <n v="1.282829119E7"/>
        <n v="1.302829119E7"/>
        <n v="1.322829119E7"/>
        <n v="1.413449119E7"/>
        <n v="1.466915119E7"/>
        <n v="1.472915119E7"/>
        <n v="1.496015119E7"/>
        <n v="1.486015119E7"/>
        <n v="1.536015119E7"/>
        <n v="1.546015119E7"/>
        <n v="1.549418796E7"/>
        <n v="1.561918796E7"/>
        <n v="1.556430339E7"/>
        <n v="1.561930339E7"/>
        <n v="1.624206298E7"/>
        <n v="1.623706298E7"/>
        <n v="1.622054992E7"/>
        <n v="1.573054992E7"/>
        <n v="1.571403686E7"/>
        <n v="1.572903686E7"/>
        <n v="1.630381065E7"/>
        <n v="1.625881065E7"/>
        <n v="1.624381065E7"/>
        <n v="1.632206298E7"/>
        <n v="1.626006298E7"/>
        <n v="1.671881065E7"/>
        <n v="1.651881065E7"/>
        <n v="1.631881065E7"/>
        <n v="1.634881065E7"/>
        <n v="1.747449865E7"/>
        <n v="1.755449865E7"/>
        <n v="1.760349865E7"/>
        <n v="1.765749865E7"/>
        <n v="1.767249865E7"/>
        <n v="1.764783465E7"/>
        <n v="1.762381065E7"/>
        <n v="1.753981065E7"/>
        <n v="1.693981065E7"/>
        <n v="1.691881065E7"/>
        <n v="1.787526865E7"/>
        <n v="1.785749865E7"/>
        <n v="1.776749865E7"/>
        <n v="1.809526865E7"/>
        <n v="1.818957229E7"/>
        <n v="1.813457229E7"/>
        <n v="1.822457229E7"/>
        <n v="1.820957229E7"/>
      </sharedItems>
    </cacheField>
    <cacheField name="Cuenta" numFmtId="49">
      <sharedItems>
        <s v="Naranja X"/>
        <s v="MUTUAL"/>
        <s v="EFECTIVO"/>
      </sharedItems>
    </cacheField>
    <cacheField name="Método" numFmtId="0">
      <sharedItems>
        <s v="Transferencia"/>
        <s v="EFECTIVO"/>
      </sharedItems>
    </cacheField>
    <cacheField name="Observaciones" numFmtId="0">
      <sharedItems containsBlank="1">
        <s v="23 y 24"/>
        <s v="Partido susanense"/>
        <s v="Practica del 23"/>
        <m/>
        <s v="Jueves a Domingo (8 * 7.000)"/>
        <s v="Sabado 14 a Miercoles 18 (2 dias de partido) (8*7.000)"/>
        <s v="Martes 10 a viernes 13 (6*7.000)"/>
        <s v="2 al 6 de Marzo (7*7.000)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C23" firstHeaderRow="0" firstDataRow="2" firstDataCol="0"/>
  <pivotFields>
    <pivotField name="MES" compact="0" numFmtId="164" outline="0" multipleItemSelectionAllowed="1" showAll="0">
      <items>
        <item x="0"/>
        <item t="default"/>
      </items>
    </pivotField>
    <pivotField name="Fech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d. Rub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ubro" axis="axisRow" compact="0" outline="0" multipleItemSelectionAllowed="1" showAll="0" sortType="ascending">
      <items>
        <item x="2"/>
        <item x="15"/>
        <item x="17"/>
        <item x="14"/>
        <item x="11"/>
        <item x="7"/>
        <item x="4"/>
        <item x="0"/>
        <item x="6"/>
        <item x="9"/>
        <item x="20"/>
        <item x="16"/>
        <item x="1"/>
        <item x="8"/>
        <item x="10"/>
        <item x="13"/>
        <item x="12"/>
        <item x="5"/>
        <item x="3"/>
        <item x="19"/>
        <item x="18"/>
        <item t="default"/>
      </items>
    </pivotField>
    <pivotField name="Concep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#EGRESOS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#INGRES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ALD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Cuenta" compact="0" numFmtId="49" outline="0" multipleItemSelectionAllowed="1" showAll="0">
      <items>
        <item x="0"/>
        <item x="1"/>
        <item x="2"/>
        <item t="default"/>
      </items>
    </pivotField>
    <pivotField name="Método" compact="0" outline="0" multipleItemSelectionAllowed="1" showAll="0">
      <items>
        <item x="0"/>
        <item x="1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</rowFields>
  <colFields>
    <field x="-2"/>
  </colFields>
  <dataFields>
    <dataField name="SUM of #EGRESOS" fld="5" baseField="0"/>
    <dataField name="SUM of #INGRESOS" fld="6" baseField="0"/>
  </dataFields>
</pivotTableDefinition>
</file>

<file path=xl/tables/table1.xml><?xml version="1.0" encoding="utf-8"?>
<table xmlns="http://schemas.openxmlformats.org/spreadsheetml/2006/main" ref="A1:K128" displayName="Tabla_1" name="Tabla_1" id="1">
  <autoFilter ref="$A$1:$K$128"/>
  <tableColumns count="11">
    <tableColumn name="MES" id="1"/>
    <tableColumn name="Fecha" id="2"/>
    <tableColumn name="Cod. Rubro" id="3"/>
    <tableColumn name="Rubro" id="4"/>
    <tableColumn name="Concepto" id="5"/>
    <tableColumn name="#EGRESOS" id="6"/>
    <tableColumn name="#INGRESOS" id="7"/>
    <tableColumn name="SALDO" id="8"/>
    <tableColumn name="Cuenta" id="9"/>
    <tableColumn name="Método" id="10"/>
    <tableColumn name="Observaciones" id="11"/>
  </tableColumns>
  <tableStyleInfo name="MOVIMIENTOS-style" showColumnStripes="0" showFirstColumn="1" showLastColumn="1" showRowStripes="1"/>
</table>
</file>

<file path=xl/tables/table2.xml><?xml version="1.0" encoding="utf-8"?>
<table xmlns="http://schemas.openxmlformats.org/spreadsheetml/2006/main" ref="A1:J99" displayName="Tabla_2" name="Tabla_2" id="2">
  <tableColumns count="10">
    <tableColumn name="MES" id="1"/>
    <tableColumn name="Fecha" id="2"/>
    <tableColumn name="Cód. Rubro" id="3"/>
    <tableColumn name="Rubro" id="4"/>
    <tableColumn name="CONCEPTO" id="5"/>
    <tableColumn name="# EGRESOS" id="6"/>
    <tableColumn name="# INGRESOS" id="7"/>
    <tableColumn name="# SALDO" id="8"/>
    <tableColumn name="CUENTA" id="9"/>
    <tableColumn name="MODO PAGO" id="10"/>
  </tableColumns>
  <tableStyleInfo name="Hoja 2-style" showColumnStripes="0" showFirstColumn="1" showLastColumn="1" showRowStripes="1"/>
</table>
</file>

<file path=xl/tables/table3.xml><?xml version="1.0" encoding="utf-8"?>
<table xmlns="http://schemas.openxmlformats.org/spreadsheetml/2006/main" headerRowCount="0" ref="A1:B98" displayName="Table_1" name="Table_1" id="3">
  <tableColumns count="2">
    <tableColumn name="Column1" id="1"/>
    <tableColumn name="Column2" id="2"/>
  </tableColumns>
  <tableStyleInfo name="Hoja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25"/>
    <col customWidth="1" min="3" max="3" width="13.75"/>
    <col customWidth="1" min="4" max="4" width="31.5"/>
    <col customWidth="1" min="5" max="5" width="45.13"/>
    <col customWidth="1" min="6" max="6" width="17.13"/>
    <col customWidth="1" min="7" max="7" width="17.63"/>
    <col customWidth="1" min="8" max="8" width="19.75"/>
    <col customWidth="1" min="11" max="11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ht="22.5" customHeight="1">
      <c r="A2" s="3">
        <v>46084.0</v>
      </c>
      <c r="B2" s="4">
        <v>46105.0</v>
      </c>
      <c r="C2" s="5">
        <v>37.0</v>
      </c>
      <c r="D2" s="5" t="s">
        <v>11</v>
      </c>
      <c r="E2" s="5" t="s">
        <v>12</v>
      </c>
      <c r="F2" s="6">
        <v>-42000.0</v>
      </c>
      <c r="G2" s="6"/>
      <c r="H2" s="6">
        <f t="shared" ref="H2:H9" si="1">H3+IFERROR(G2,0)+IFERROR(F2,0)</f>
        <v>14027699.19</v>
      </c>
      <c r="I2" s="7" t="s">
        <v>13</v>
      </c>
      <c r="J2" s="8" t="s">
        <v>14</v>
      </c>
      <c r="K2" s="5" t="s">
        <v>15</v>
      </c>
    </row>
    <row r="3" ht="22.5" customHeight="1">
      <c r="A3" s="3">
        <v>46084.0</v>
      </c>
      <c r="B3" s="4">
        <v>46105.0</v>
      </c>
      <c r="C3" s="5">
        <v>16.0</v>
      </c>
      <c r="D3" s="5" t="s">
        <v>16</v>
      </c>
      <c r="E3" s="5" t="s">
        <v>17</v>
      </c>
      <c r="F3" s="6">
        <v>-110000.0</v>
      </c>
      <c r="G3" s="6"/>
      <c r="H3" s="6">
        <f t="shared" si="1"/>
        <v>14069699.19</v>
      </c>
      <c r="I3" s="7" t="s">
        <v>13</v>
      </c>
      <c r="J3" s="8" t="s">
        <v>14</v>
      </c>
      <c r="K3" s="5" t="s">
        <v>18</v>
      </c>
    </row>
    <row r="4" ht="22.5" customHeight="1">
      <c r="A4" s="3">
        <v>46084.0</v>
      </c>
      <c r="B4" s="4">
        <v>46105.0</v>
      </c>
      <c r="C4" s="5">
        <v>16.0</v>
      </c>
      <c r="D4" s="5" t="s">
        <v>16</v>
      </c>
      <c r="E4" s="5" t="s">
        <v>17</v>
      </c>
      <c r="F4" s="6">
        <v>-62000.0</v>
      </c>
      <c r="G4" s="6"/>
      <c r="H4" s="6">
        <f t="shared" si="1"/>
        <v>14179699.19</v>
      </c>
      <c r="I4" s="7" t="s">
        <v>13</v>
      </c>
      <c r="J4" s="8" t="s">
        <v>14</v>
      </c>
      <c r="K4" s="5" t="s">
        <v>19</v>
      </c>
    </row>
    <row r="5" ht="22.5" customHeight="1">
      <c r="A5" s="3">
        <v>46084.0</v>
      </c>
      <c r="B5" s="4">
        <v>46104.0</v>
      </c>
      <c r="C5" s="5">
        <v>6.0</v>
      </c>
      <c r="D5" s="5" t="s">
        <v>20</v>
      </c>
      <c r="E5" s="5" t="s">
        <v>21</v>
      </c>
      <c r="F5" s="6"/>
      <c r="G5" s="6">
        <v>85000.0</v>
      </c>
      <c r="H5" s="6">
        <f t="shared" si="1"/>
        <v>14241699.19</v>
      </c>
      <c r="I5" s="7" t="s">
        <v>13</v>
      </c>
      <c r="J5" s="8" t="s">
        <v>14</v>
      </c>
      <c r="K5" s="5"/>
    </row>
    <row r="6" ht="22.5" customHeight="1">
      <c r="A6" s="3">
        <v>46084.0</v>
      </c>
      <c r="B6" s="4">
        <v>46104.0</v>
      </c>
      <c r="C6" s="5">
        <v>6.0</v>
      </c>
      <c r="D6" s="5" t="s">
        <v>20</v>
      </c>
      <c r="E6" s="5" t="s">
        <v>22</v>
      </c>
      <c r="F6" s="6"/>
      <c r="G6" s="6">
        <v>50000.0</v>
      </c>
      <c r="H6" s="6">
        <f t="shared" si="1"/>
        <v>14156699.19</v>
      </c>
      <c r="I6" s="9" t="s">
        <v>23</v>
      </c>
      <c r="J6" s="9" t="s">
        <v>24</v>
      </c>
      <c r="K6" s="5"/>
    </row>
    <row r="7" ht="22.5" customHeight="1">
      <c r="A7" s="3">
        <v>46084.0</v>
      </c>
      <c r="B7" s="4">
        <v>46104.0</v>
      </c>
      <c r="C7" s="5">
        <v>6.0</v>
      </c>
      <c r="D7" s="5" t="s">
        <v>20</v>
      </c>
      <c r="E7" s="5" t="s">
        <v>25</v>
      </c>
      <c r="F7" s="6"/>
      <c r="G7" s="6">
        <v>50000.0</v>
      </c>
      <c r="H7" s="6">
        <f t="shared" si="1"/>
        <v>14106699.19</v>
      </c>
      <c r="I7" s="9" t="s">
        <v>23</v>
      </c>
      <c r="J7" s="9" t="s">
        <v>24</v>
      </c>
      <c r="K7" s="5"/>
    </row>
    <row r="8" ht="22.5" customHeight="1">
      <c r="A8" s="3">
        <v>46084.0</v>
      </c>
      <c r="B8" s="4">
        <v>46103.0</v>
      </c>
      <c r="C8" s="5">
        <v>19.0</v>
      </c>
      <c r="D8" s="5" t="s">
        <v>26</v>
      </c>
      <c r="E8" s="5" t="s">
        <v>27</v>
      </c>
      <c r="F8" s="6">
        <v>-100000.0</v>
      </c>
      <c r="G8" s="6"/>
      <c r="H8" s="6">
        <f t="shared" si="1"/>
        <v>14056699.19</v>
      </c>
      <c r="I8" s="7" t="s">
        <v>13</v>
      </c>
      <c r="J8" s="8" t="s">
        <v>14</v>
      </c>
      <c r="K8" s="5"/>
    </row>
    <row r="9" ht="22.5" customHeight="1">
      <c r="A9" s="3">
        <v>46084.0</v>
      </c>
      <c r="B9" s="4">
        <v>46103.0</v>
      </c>
      <c r="C9" s="5">
        <v>37.0</v>
      </c>
      <c r="D9" s="5" t="s">
        <v>11</v>
      </c>
      <c r="E9" s="5" t="s">
        <v>28</v>
      </c>
      <c r="F9" s="6">
        <v>-56000.0</v>
      </c>
      <c r="G9" s="6"/>
      <c r="H9" s="6">
        <f t="shared" si="1"/>
        <v>14156699.19</v>
      </c>
      <c r="I9" s="9" t="s">
        <v>23</v>
      </c>
      <c r="J9" s="9" t="s">
        <v>24</v>
      </c>
      <c r="K9" s="5" t="s">
        <v>29</v>
      </c>
    </row>
    <row r="10" ht="22.5" customHeight="1">
      <c r="A10" s="3">
        <v>46084.0</v>
      </c>
      <c r="B10" s="10">
        <v>46103.0</v>
      </c>
      <c r="C10" s="5">
        <v>37.0</v>
      </c>
      <c r="D10" s="5" t="s">
        <v>30</v>
      </c>
      <c r="E10" s="5" t="s">
        <v>31</v>
      </c>
      <c r="F10" s="6">
        <v>-98000.0</v>
      </c>
      <c r="G10" s="6"/>
      <c r="H10" s="11">
        <f>H11+IFERROR(G10,0)+IFERROR(F10,0)</f>
        <v>14212699.19</v>
      </c>
      <c r="I10" s="9" t="s">
        <v>23</v>
      </c>
      <c r="J10" s="9" t="s">
        <v>24</v>
      </c>
      <c r="K10" s="5"/>
    </row>
    <row r="11" ht="22.5" customHeight="1">
      <c r="A11" s="3">
        <v>46084.0</v>
      </c>
      <c r="B11" s="4">
        <v>46102.0</v>
      </c>
      <c r="C11" s="5">
        <v>19.0</v>
      </c>
      <c r="D11" s="5" t="s">
        <v>26</v>
      </c>
      <c r="E11" s="5" t="s">
        <v>32</v>
      </c>
      <c r="F11" s="6">
        <v>-200000.0</v>
      </c>
      <c r="G11" s="6"/>
      <c r="H11" s="6">
        <f>H12+IFERROR(G11,0)+IFERROR(F11,0)</f>
        <v>14310699.19</v>
      </c>
      <c r="I11" s="9" t="s">
        <v>23</v>
      </c>
      <c r="J11" s="9" t="s">
        <v>33</v>
      </c>
      <c r="K11" s="5"/>
    </row>
    <row r="12" ht="22.5" customHeight="1">
      <c r="A12" s="3">
        <v>46084.0</v>
      </c>
      <c r="B12" s="4">
        <v>46102.0</v>
      </c>
      <c r="C12" s="5">
        <v>19.0</v>
      </c>
      <c r="D12" s="5" t="s">
        <v>26</v>
      </c>
      <c r="E12" s="5" t="s">
        <v>34</v>
      </c>
      <c r="F12" s="6">
        <v>-50000.0</v>
      </c>
      <c r="G12" s="6"/>
      <c r="H12" s="11">
        <f>H13+IFERROR(G12,0)+IFERROR(F12,0)</f>
        <v>14510699.19</v>
      </c>
      <c r="I12" s="9" t="s">
        <v>23</v>
      </c>
      <c r="J12" s="9" t="s">
        <v>33</v>
      </c>
      <c r="K12" s="5"/>
    </row>
    <row r="13" ht="22.5" customHeight="1">
      <c r="A13" s="12">
        <v>46084.0</v>
      </c>
      <c r="B13" s="10">
        <v>46102.0</v>
      </c>
      <c r="C13" s="13">
        <v>6.0</v>
      </c>
      <c r="D13" s="14" t="s">
        <v>20</v>
      </c>
      <c r="E13" s="8" t="s">
        <v>35</v>
      </c>
      <c r="F13" s="15"/>
      <c r="G13" s="16">
        <v>2000000.0</v>
      </c>
      <c r="H13" s="11">
        <v>1.456069919E7</v>
      </c>
      <c r="I13" s="9" t="s">
        <v>23</v>
      </c>
      <c r="J13" s="9" t="s">
        <v>24</v>
      </c>
    </row>
    <row r="14" ht="22.5" customHeight="1">
      <c r="A14" s="12">
        <v>46084.0</v>
      </c>
      <c r="B14" s="10">
        <v>46102.0</v>
      </c>
      <c r="C14" s="13">
        <v>6.0</v>
      </c>
      <c r="D14" s="14" t="s">
        <v>20</v>
      </c>
      <c r="E14" s="8" t="s">
        <v>36</v>
      </c>
      <c r="F14" s="15"/>
      <c r="G14" s="16">
        <v>3000000.0</v>
      </c>
      <c r="H14" s="11">
        <v>1.756069919E7</v>
      </c>
      <c r="I14" s="9" t="s">
        <v>23</v>
      </c>
      <c r="J14" s="9" t="s">
        <v>24</v>
      </c>
    </row>
    <row r="15" ht="22.5" customHeight="1">
      <c r="A15" s="12">
        <v>46084.0</v>
      </c>
      <c r="B15" s="10">
        <v>46102.0</v>
      </c>
      <c r="C15" s="13">
        <v>6.0</v>
      </c>
      <c r="D15" s="14" t="s">
        <v>20</v>
      </c>
      <c r="E15" s="8" t="s">
        <v>37</v>
      </c>
      <c r="F15" s="15"/>
      <c r="G15" s="16">
        <v>200000.0</v>
      </c>
      <c r="H15" s="11">
        <v>1.776069919E7</v>
      </c>
      <c r="I15" s="9" t="s">
        <v>23</v>
      </c>
      <c r="J15" s="9" t="s">
        <v>24</v>
      </c>
    </row>
    <row r="16" ht="22.5" customHeight="1">
      <c r="A16" s="12">
        <v>46084.0</v>
      </c>
      <c r="B16" s="10">
        <v>46102.0</v>
      </c>
      <c r="C16" s="13">
        <v>37.0</v>
      </c>
      <c r="D16" s="14" t="s">
        <v>11</v>
      </c>
      <c r="E16" s="8" t="s">
        <v>38</v>
      </c>
      <c r="F16" s="16">
        <v>-21400.0</v>
      </c>
      <c r="G16" s="15"/>
      <c r="H16" s="11">
        <v>1.773929919E7</v>
      </c>
      <c r="I16" s="9" t="s">
        <v>39</v>
      </c>
      <c r="J16" s="9" t="s">
        <v>33</v>
      </c>
    </row>
    <row r="17" ht="22.5" customHeight="1">
      <c r="A17" s="3">
        <v>46084.0</v>
      </c>
      <c r="B17" s="4">
        <v>46101.0</v>
      </c>
      <c r="C17" s="5">
        <v>18.0</v>
      </c>
      <c r="D17" s="5" t="s">
        <v>40</v>
      </c>
      <c r="E17" s="5" t="s">
        <v>41</v>
      </c>
      <c r="F17" s="6">
        <v>-250000.0</v>
      </c>
      <c r="G17" s="6"/>
      <c r="H17" s="6">
        <f t="shared" ref="H17:H20" si="2">H18+IFERROR(G17,0)+IFERROR(F17,0)</f>
        <v>14906917.39</v>
      </c>
      <c r="I17" s="9" t="s">
        <v>24</v>
      </c>
      <c r="J17" s="9" t="s">
        <v>24</v>
      </c>
      <c r="K17" s="5"/>
    </row>
    <row r="18" ht="22.5" customHeight="1">
      <c r="A18" s="3">
        <v>46084.0</v>
      </c>
      <c r="B18" s="4">
        <v>46101.0</v>
      </c>
      <c r="C18" s="5">
        <v>18.0</v>
      </c>
      <c r="D18" s="5" t="s">
        <v>40</v>
      </c>
      <c r="E18" s="5" t="s">
        <v>42</v>
      </c>
      <c r="F18" s="6">
        <v>-500000.0</v>
      </c>
      <c r="G18" s="6"/>
      <c r="H18" s="6">
        <f t="shared" si="2"/>
        <v>15156917.39</v>
      </c>
      <c r="I18" s="9" t="s">
        <v>24</v>
      </c>
      <c r="J18" s="9" t="s">
        <v>24</v>
      </c>
      <c r="K18" s="5"/>
    </row>
    <row r="19" ht="22.5" customHeight="1">
      <c r="A19" s="3">
        <v>46084.0</v>
      </c>
      <c r="B19" s="4">
        <v>46101.0</v>
      </c>
      <c r="C19" s="5">
        <v>21.0</v>
      </c>
      <c r="D19" s="5" t="s">
        <v>43</v>
      </c>
      <c r="E19" s="5" t="s">
        <v>44</v>
      </c>
      <c r="F19" s="6">
        <v>-34781.8</v>
      </c>
      <c r="G19" s="6"/>
      <c r="H19" s="6">
        <f t="shared" si="2"/>
        <v>15656917.39</v>
      </c>
      <c r="I19" s="9" t="s">
        <v>24</v>
      </c>
      <c r="J19" s="9" t="s">
        <v>24</v>
      </c>
      <c r="K19" s="5"/>
    </row>
    <row r="20" ht="22.5" customHeight="1">
      <c r="A20" s="3">
        <v>46084.0</v>
      </c>
      <c r="B20" s="4">
        <v>46101.0</v>
      </c>
      <c r="C20" s="5">
        <v>20.0</v>
      </c>
      <c r="D20" s="5" t="s">
        <v>45</v>
      </c>
      <c r="E20" s="5" t="s">
        <v>46</v>
      </c>
      <c r="F20" s="6">
        <v>-54000.0</v>
      </c>
      <c r="G20" s="6"/>
      <c r="H20" s="6">
        <f t="shared" si="2"/>
        <v>15691699.19</v>
      </c>
      <c r="I20" s="9" t="s">
        <v>24</v>
      </c>
      <c r="J20" s="9" t="s">
        <v>24</v>
      </c>
      <c r="K20" s="5"/>
    </row>
    <row r="21" ht="22.5" customHeight="1">
      <c r="A21" s="12">
        <v>46084.0</v>
      </c>
      <c r="B21" s="10">
        <v>46101.0</v>
      </c>
      <c r="C21" s="13">
        <v>19.0</v>
      </c>
      <c r="D21" s="14" t="s">
        <v>26</v>
      </c>
      <c r="E21" s="8" t="s">
        <v>47</v>
      </c>
      <c r="F21" s="16">
        <v>-200000.0</v>
      </c>
      <c r="G21" s="15"/>
      <c r="H21" s="11">
        <v>1.574569919E7</v>
      </c>
      <c r="I21" s="9" t="s">
        <v>39</v>
      </c>
      <c r="J21" s="9" t="s">
        <v>33</v>
      </c>
    </row>
    <row r="22" ht="22.5" customHeight="1">
      <c r="A22" s="12">
        <v>46084.0</v>
      </c>
      <c r="B22" s="10">
        <v>46101.0</v>
      </c>
      <c r="C22" s="13">
        <v>19.0</v>
      </c>
      <c r="D22" s="14" t="s">
        <v>26</v>
      </c>
      <c r="E22" s="8" t="s">
        <v>48</v>
      </c>
      <c r="F22" s="16">
        <v>-500000.0</v>
      </c>
      <c r="G22" s="15"/>
      <c r="H22" s="17">
        <v>1.524569919E7</v>
      </c>
      <c r="I22" s="9" t="s">
        <v>39</v>
      </c>
      <c r="J22" s="9" t="s">
        <v>33</v>
      </c>
    </row>
    <row r="23" ht="22.5" customHeight="1">
      <c r="A23" s="12">
        <v>46084.0</v>
      </c>
      <c r="B23" s="18">
        <v>46101.0</v>
      </c>
      <c r="C23" s="13">
        <v>19.0</v>
      </c>
      <c r="D23" s="14" t="s">
        <v>26</v>
      </c>
      <c r="E23" s="8" t="s">
        <v>49</v>
      </c>
      <c r="F23" s="16">
        <v>-300000.0</v>
      </c>
      <c r="G23" s="15"/>
      <c r="H23" s="17">
        <v>1.494569919E7</v>
      </c>
      <c r="I23" s="9" t="s">
        <v>39</v>
      </c>
      <c r="J23" s="9" t="s">
        <v>33</v>
      </c>
    </row>
    <row r="24" ht="22.5" customHeight="1">
      <c r="A24" s="19">
        <v>46084.0</v>
      </c>
      <c r="B24" s="18">
        <v>46101.0</v>
      </c>
      <c r="C24" s="20">
        <v>19.0</v>
      </c>
      <c r="D24" s="21" t="s">
        <v>26</v>
      </c>
      <c r="E24" s="22" t="s">
        <v>50</v>
      </c>
      <c r="F24" s="23">
        <v>-140000.0</v>
      </c>
      <c r="G24" s="24"/>
      <c r="H24" s="17">
        <v>1.480569919E7</v>
      </c>
      <c r="I24" s="25" t="s">
        <v>39</v>
      </c>
      <c r="J24" s="26" t="s">
        <v>33</v>
      </c>
    </row>
    <row r="25" ht="22.5" customHeight="1">
      <c r="A25" s="19">
        <v>46084.0</v>
      </c>
      <c r="B25" s="18">
        <v>46101.0</v>
      </c>
      <c r="C25" s="20">
        <v>19.0</v>
      </c>
      <c r="D25" s="21" t="s">
        <v>26</v>
      </c>
      <c r="E25" s="22" t="s">
        <v>51</v>
      </c>
      <c r="F25" s="23">
        <v>-80000.0</v>
      </c>
      <c r="G25" s="24"/>
      <c r="H25" s="17">
        <v>1.472569919E7</v>
      </c>
      <c r="I25" s="25" t="s">
        <v>39</v>
      </c>
      <c r="J25" s="26" t="s">
        <v>33</v>
      </c>
    </row>
    <row r="26" ht="22.5" customHeight="1">
      <c r="A26" s="19">
        <v>46084.0</v>
      </c>
      <c r="B26" s="18">
        <v>46101.0</v>
      </c>
      <c r="C26" s="20">
        <v>16.0</v>
      </c>
      <c r="D26" s="21" t="s">
        <v>16</v>
      </c>
      <c r="E26" s="22" t="s">
        <v>52</v>
      </c>
      <c r="F26" s="23">
        <v>-385000.0</v>
      </c>
      <c r="G26" s="24"/>
      <c r="H26" s="17">
        <v>1.434069919E7</v>
      </c>
      <c r="I26" s="25" t="s">
        <v>39</v>
      </c>
      <c r="J26" s="26" t="s">
        <v>33</v>
      </c>
    </row>
    <row r="27" ht="22.5" customHeight="1">
      <c r="A27" s="19">
        <v>46084.0</v>
      </c>
      <c r="B27" s="18">
        <v>46101.0</v>
      </c>
      <c r="C27" s="20">
        <v>18.0</v>
      </c>
      <c r="D27" s="21" t="s">
        <v>40</v>
      </c>
      <c r="E27" s="22" t="s">
        <v>53</v>
      </c>
      <c r="F27" s="23">
        <v>-50000.0</v>
      </c>
      <c r="G27" s="24"/>
      <c r="H27" s="17">
        <v>1.429069919E7</v>
      </c>
      <c r="I27" s="25" t="s">
        <v>39</v>
      </c>
      <c r="J27" s="26" t="s">
        <v>33</v>
      </c>
    </row>
    <row r="28" ht="22.5" customHeight="1">
      <c r="A28" s="19">
        <v>46084.0</v>
      </c>
      <c r="B28" s="18">
        <v>46101.0</v>
      </c>
      <c r="C28" s="20">
        <v>19.0</v>
      </c>
      <c r="D28" s="21" t="s">
        <v>26</v>
      </c>
      <c r="E28" s="22" t="s">
        <v>54</v>
      </c>
      <c r="F28" s="23">
        <v>-50000.0</v>
      </c>
      <c r="G28" s="24"/>
      <c r="H28" s="17">
        <v>1.424069919E7</v>
      </c>
      <c r="I28" s="25" t="s">
        <v>39</v>
      </c>
      <c r="J28" s="26" t="s">
        <v>33</v>
      </c>
    </row>
    <row r="29" ht="22.5" customHeight="1">
      <c r="A29" s="19">
        <v>46084.0</v>
      </c>
      <c r="B29" s="18">
        <v>46101.0</v>
      </c>
      <c r="C29" s="20">
        <v>19.0</v>
      </c>
      <c r="D29" s="21" t="s">
        <v>26</v>
      </c>
      <c r="E29" s="22" t="s">
        <v>55</v>
      </c>
      <c r="F29" s="23">
        <v>-120000.0</v>
      </c>
      <c r="G29" s="24"/>
      <c r="H29" s="17">
        <v>1.412069919E7</v>
      </c>
      <c r="I29" s="25" t="s">
        <v>39</v>
      </c>
      <c r="J29" s="26" t="s">
        <v>33</v>
      </c>
    </row>
    <row r="30" ht="22.5" customHeight="1">
      <c r="A30" s="19">
        <v>46084.0</v>
      </c>
      <c r="B30" s="18">
        <v>46101.0</v>
      </c>
      <c r="C30" s="20">
        <v>19.0</v>
      </c>
      <c r="D30" s="21" t="s">
        <v>26</v>
      </c>
      <c r="E30" s="22" t="s">
        <v>56</v>
      </c>
      <c r="F30" s="23">
        <v>-120000.0</v>
      </c>
      <c r="G30" s="24"/>
      <c r="H30" s="17">
        <v>1.400069919E7</v>
      </c>
      <c r="I30" s="25" t="s">
        <v>39</v>
      </c>
      <c r="J30" s="26" t="s">
        <v>33</v>
      </c>
    </row>
    <row r="31" ht="22.5" customHeight="1">
      <c r="A31" s="19">
        <v>46084.0</v>
      </c>
      <c r="B31" s="18">
        <v>46101.0</v>
      </c>
      <c r="C31" s="20">
        <v>19.0</v>
      </c>
      <c r="D31" s="21" t="s">
        <v>26</v>
      </c>
      <c r="E31" s="22" t="s">
        <v>57</v>
      </c>
      <c r="F31" s="23">
        <v>-240000.0</v>
      </c>
      <c r="G31" s="24"/>
      <c r="H31" s="17">
        <v>1.376069919E7</v>
      </c>
      <c r="I31" s="25" t="s">
        <v>39</v>
      </c>
      <c r="J31" s="26" t="s">
        <v>33</v>
      </c>
    </row>
    <row r="32" ht="22.5" customHeight="1">
      <c r="A32" s="19">
        <v>46084.0</v>
      </c>
      <c r="B32" s="18">
        <v>46101.0</v>
      </c>
      <c r="C32" s="20">
        <v>7.0</v>
      </c>
      <c r="D32" s="21" t="s">
        <v>58</v>
      </c>
      <c r="E32" s="22" t="s">
        <v>59</v>
      </c>
      <c r="F32" s="24"/>
      <c r="G32" s="23">
        <v>10000.0</v>
      </c>
      <c r="H32" s="17">
        <v>1.377069919E7</v>
      </c>
      <c r="I32" s="25" t="s">
        <v>39</v>
      </c>
      <c r="J32" s="26" t="s">
        <v>33</v>
      </c>
    </row>
    <row r="33" ht="22.5" customHeight="1">
      <c r="A33" s="19">
        <v>46084.0</v>
      </c>
      <c r="B33" s="18">
        <v>46101.0</v>
      </c>
      <c r="C33" s="20">
        <v>19.0</v>
      </c>
      <c r="D33" s="21" t="s">
        <v>26</v>
      </c>
      <c r="E33" s="22" t="s">
        <v>60</v>
      </c>
      <c r="F33" s="23">
        <v>-200000.0</v>
      </c>
      <c r="G33" s="24"/>
      <c r="H33" s="17">
        <v>1.357069919E7</v>
      </c>
      <c r="I33" s="25" t="s">
        <v>39</v>
      </c>
      <c r="J33" s="26" t="s">
        <v>33</v>
      </c>
    </row>
    <row r="34" ht="22.5" customHeight="1">
      <c r="A34" s="19">
        <v>46084.0</v>
      </c>
      <c r="B34" s="18">
        <v>46101.0</v>
      </c>
      <c r="C34" s="20">
        <v>19.0</v>
      </c>
      <c r="D34" s="21" t="s">
        <v>26</v>
      </c>
      <c r="E34" s="22" t="s">
        <v>61</v>
      </c>
      <c r="F34" s="23">
        <v>-170000.0</v>
      </c>
      <c r="G34" s="24"/>
      <c r="H34" s="17">
        <v>1.340069919E7</v>
      </c>
      <c r="I34" s="25" t="s">
        <v>39</v>
      </c>
      <c r="J34" s="26" t="s">
        <v>33</v>
      </c>
    </row>
    <row r="35" ht="22.5" customHeight="1">
      <c r="A35" s="19">
        <v>46084.0</v>
      </c>
      <c r="B35" s="18">
        <v>46101.0</v>
      </c>
      <c r="C35" s="20">
        <v>19.0</v>
      </c>
      <c r="D35" s="21" t="s">
        <v>26</v>
      </c>
      <c r="E35" s="22" t="s">
        <v>62</v>
      </c>
      <c r="F35" s="23">
        <v>-460000.0</v>
      </c>
      <c r="G35" s="24"/>
      <c r="H35" s="17">
        <v>1.294069919E7</v>
      </c>
      <c r="I35" s="25" t="s">
        <v>39</v>
      </c>
      <c r="J35" s="26" t="s">
        <v>33</v>
      </c>
    </row>
    <row r="36" ht="22.5" customHeight="1">
      <c r="A36" s="19">
        <v>46084.0</v>
      </c>
      <c r="B36" s="18">
        <v>46101.0</v>
      </c>
      <c r="C36" s="20">
        <v>19.0</v>
      </c>
      <c r="D36" s="21" t="s">
        <v>26</v>
      </c>
      <c r="E36" s="22" t="s">
        <v>63</v>
      </c>
      <c r="F36" s="23">
        <v>-220000.0</v>
      </c>
      <c r="G36" s="24"/>
      <c r="H36" s="17">
        <v>1.272069919E7</v>
      </c>
      <c r="I36" s="25" t="s">
        <v>39</v>
      </c>
      <c r="J36" s="26" t="s">
        <v>33</v>
      </c>
    </row>
    <row r="37" ht="22.5" customHeight="1">
      <c r="A37" s="19">
        <v>46084.0</v>
      </c>
      <c r="B37" s="18">
        <v>46101.0</v>
      </c>
      <c r="C37" s="20">
        <v>19.0</v>
      </c>
      <c r="D37" s="21" t="s">
        <v>26</v>
      </c>
      <c r="E37" s="22" t="s">
        <v>64</v>
      </c>
      <c r="F37" s="23">
        <v>-140000.0</v>
      </c>
      <c r="G37" s="24"/>
      <c r="H37" s="17">
        <v>1.258069919E7</v>
      </c>
      <c r="I37" s="25" t="s">
        <v>39</v>
      </c>
      <c r="J37" s="26" t="s">
        <v>33</v>
      </c>
    </row>
    <row r="38" ht="22.5" customHeight="1">
      <c r="A38" s="19">
        <v>46084.0</v>
      </c>
      <c r="B38" s="18">
        <v>46101.0</v>
      </c>
      <c r="C38" s="20">
        <v>20.0</v>
      </c>
      <c r="D38" s="21" t="s">
        <v>45</v>
      </c>
      <c r="E38" s="22" t="s">
        <v>65</v>
      </c>
      <c r="F38" s="23">
        <v>-20000.0</v>
      </c>
      <c r="G38" s="24"/>
      <c r="H38" s="17">
        <v>1.256069919E7</v>
      </c>
      <c r="I38" s="25" t="s">
        <v>39</v>
      </c>
      <c r="J38" s="26" t="s">
        <v>33</v>
      </c>
    </row>
    <row r="39" ht="22.5" customHeight="1">
      <c r="A39" s="19">
        <v>46084.0</v>
      </c>
      <c r="B39" s="18">
        <v>46101.0</v>
      </c>
      <c r="C39" s="20">
        <v>37.0</v>
      </c>
      <c r="D39" s="21" t="s">
        <v>11</v>
      </c>
      <c r="E39" s="22" t="s">
        <v>66</v>
      </c>
      <c r="F39" s="23">
        <v>-30000.0</v>
      </c>
      <c r="G39" s="24"/>
      <c r="H39" s="17">
        <v>1.253069919E7</v>
      </c>
      <c r="I39" s="25" t="s">
        <v>39</v>
      </c>
      <c r="J39" s="26" t="s">
        <v>33</v>
      </c>
    </row>
    <row r="40" ht="22.5" customHeight="1">
      <c r="A40" s="19">
        <v>46084.0</v>
      </c>
      <c r="B40" s="18">
        <v>46101.0</v>
      </c>
      <c r="C40" s="20">
        <v>7.0</v>
      </c>
      <c r="D40" s="21" t="s">
        <v>58</v>
      </c>
      <c r="E40" s="22" t="s">
        <v>67</v>
      </c>
      <c r="F40" s="24"/>
      <c r="G40" s="23">
        <v>30000.0</v>
      </c>
      <c r="H40" s="17">
        <v>1.256069919E7</v>
      </c>
      <c r="I40" s="25" t="s">
        <v>39</v>
      </c>
      <c r="J40" s="26" t="s">
        <v>33</v>
      </c>
    </row>
    <row r="41" ht="22.5" customHeight="1">
      <c r="A41" s="19">
        <v>46084.0</v>
      </c>
      <c r="B41" s="18">
        <v>46100.0</v>
      </c>
      <c r="C41" s="20">
        <v>35.0</v>
      </c>
      <c r="D41" s="21" t="s">
        <v>68</v>
      </c>
      <c r="E41" s="22" t="s">
        <v>69</v>
      </c>
      <c r="F41" s="24"/>
      <c r="G41" s="23">
        <v>30000.0</v>
      </c>
      <c r="H41" s="17">
        <v>1.599369919E7</v>
      </c>
      <c r="I41" s="25" t="s">
        <v>39</v>
      </c>
      <c r="J41" s="26" t="s">
        <v>33</v>
      </c>
    </row>
    <row r="42" ht="22.5" customHeight="1">
      <c r="A42" s="19">
        <v>46084.0</v>
      </c>
      <c r="B42" s="18">
        <v>46100.0</v>
      </c>
      <c r="C42" s="20">
        <v>35.0</v>
      </c>
      <c r="D42" s="21" t="s">
        <v>68</v>
      </c>
      <c r="E42" s="22" t="s">
        <v>70</v>
      </c>
      <c r="F42" s="23">
        <v>-48000.0</v>
      </c>
      <c r="G42" s="24"/>
      <c r="H42" s="17">
        <v>1.594569919E7</v>
      </c>
      <c r="I42" s="25" t="s">
        <v>39</v>
      </c>
      <c r="J42" s="26" t="s">
        <v>33</v>
      </c>
    </row>
    <row r="43" ht="22.5" customHeight="1">
      <c r="A43" s="27">
        <v>46084.0</v>
      </c>
      <c r="B43" s="28">
        <v>46099.0</v>
      </c>
      <c r="C43" s="29">
        <v>37.0</v>
      </c>
      <c r="D43" s="29" t="s">
        <v>11</v>
      </c>
      <c r="E43" s="29" t="s">
        <v>28</v>
      </c>
      <c r="F43" s="30">
        <v>-56000.0</v>
      </c>
      <c r="G43" s="30"/>
      <c r="H43" s="30">
        <f>H44+IFERROR(G43,0)+IFERROR(F43,0)</f>
        <v>15800149.19</v>
      </c>
      <c r="I43" s="9" t="s">
        <v>24</v>
      </c>
      <c r="J43" s="9" t="s">
        <v>24</v>
      </c>
      <c r="K43" s="31" t="s">
        <v>71</v>
      </c>
    </row>
    <row r="44" ht="22.5" customHeight="1">
      <c r="A44" s="19">
        <v>46084.0</v>
      </c>
      <c r="B44" s="18">
        <v>46099.0</v>
      </c>
      <c r="C44" s="20">
        <v>23.0</v>
      </c>
      <c r="D44" s="21" t="s">
        <v>72</v>
      </c>
      <c r="E44" s="22" t="s">
        <v>73</v>
      </c>
      <c r="F44" s="23">
        <v>-16002.0</v>
      </c>
      <c r="G44" s="24"/>
      <c r="H44" s="17">
        <v>1.585614919E7</v>
      </c>
      <c r="I44" s="25" t="s">
        <v>23</v>
      </c>
      <c r="J44" s="26" t="s">
        <v>33</v>
      </c>
    </row>
    <row r="45" ht="22.5" customHeight="1">
      <c r="A45" s="19">
        <v>46084.0</v>
      </c>
      <c r="B45" s="18">
        <v>46099.0</v>
      </c>
      <c r="C45" s="20">
        <v>23.0</v>
      </c>
      <c r="D45" s="21" t="s">
        <v>72</v>
      </c>
      <c r="E45" s="22" t="s">
        <v>74</v>
      </c>
      <c r="F45" s="23">
        <v>-16000.0</v>
      </c>
      <c r="G45" s="24"/>
      <c r="H45" s="17">
        <v>1.584014919E7</v>
      </c>
      <c r="I45" s="25" t="s">
        <v>23</v>
      </c>
      <c r="J45" s="26" t="s">
        <v>33</v>
      </c>
    </row>
    <row r="46" ht="22.5" customHeight="1">
      <c r="A46" s="19">
        <v>46084.0</v>
      </c>
      <c r="B46" s="18">
        <v>46099.0</v>
      </c>
      <c r="C46" s="20">
        <v>14.0</v>
      </c>
      <c r="D46" s="21" t="s">
        <v>75</v>
      </c>
      <c r="E46" s="22" t="s">
        <v>76</v>
      </c>
      <c r="F46" s="23">
        <v>-80000.0</v>
      </c>
      <c r="G46" s="24"/>
      <c r="H46" s="17">
        <v>1.576014919E7</v>
      </c>
      <c r="I46" s="25" t="s">
        <v>24</v>
      </c>
      <c r="J46" s="26" t="s">
        <v>24</v>
      </c>
    </row>
    <row r="47" ht="22.5" customHeight="1">
      <c r="A47" s="19">
        <v>46084.0</v>
      </c>
      <c r="B47" s="18">
        <v>46099.0</v>
      </c>
      <c r="C47" s="20">
        <v>36.0</v>
      </c>
      <c r="D47" s="21" t="s">
        <v>77</v>
      </c>
      <c r="E47" s="22" t="s">
        <v>78</v>
      </c>
      <c r="F47" s="23">
        <v>-85000.0</v>
      </c>
      <c r="G47" s="24"/>
      <c r="H47" s="17">
        <v>1.567514919E7</v>
      </c>
      <c r="I47" s="25" t="s">
        <v>24</v>
      </c>
      <c r="J47" s="26" t="s">
        <v>24</v>
      </c>
    </row>
    <row r="48" ht="22.5" customHeight="1">
      <c r="A48" s="19">
        <v>46084.0</v>
      </c>
      <c r="B48" s="18">
        <v>46099.0</v>
      </c>
      <c r="C48" s="20">
        <v>16.0</v>
      </c>
      <c r="D48" s="21" t="s">
        <v>16</v>
      </c>
      <c r="E48" s="22" t="s">
        <v>17</v>
      </c>
      <c r="F48" s="23">
        <v>-62000.0</v>
      </c>
      <c r="G48" s="24"/>
      <c r="H48" s="17">
        <v>1.602569919E7</v>
      </c>
      <c r="I48" s="25" t="s">
        <v>39</v>
      </c>
      <c r="J48" s="26" t="s">
        <v>33</v>
      </c>
    </row>
    <row r="49" ht="22.5" customHeight="1">
      <c r="A49" s="19">
        <v>46084.0</v>
      </c>
      <c r="B49" s="18">
        <v>46099.0</v>
      </c>
      <c r="C49" s="20">
        <v>37.0</v>
      </c>
      <c r="D49" s="21" t="s">
        <v>11</v>
      </c>
      <c r="E49" s="22" t="s">
        <v>79</v>
      </c>
      <c r="F49" s="23">
        <v>-112000.0</v>
      </c>
      <c r="G49" s="24"/>
      <c r="H49" s="17">
        <v>1.591369919E7</v>
      </c>
      <c r="I49" s="25" t="s">
        <v>39</v>
      </c>
      <c r="J49" s="26" t="s">
        <v>33</v>
      </c>
    </row>
    <row r="50" ht="22.5" customHeight="1">
      <c r="A50" s="19">
        <v>46084.0</v>
      </c>
      <c r="B50" s="18">
        <v>46099.0</v>
      </c>
      <c r="C50" s="20">
        <v>6.0</v>
      </c>
      <c r="D50" s="21" t="s">
        <v>20</v>
      </c>
      <c r="E50" s="22" t="s">
        <v>80</v>
      </c>
      <c r="F50" s="24"/>
      <c r="G50" s="23">
        <v>50000.0</v>
      </c>
      <c r="H50" s="17">
        <v>1.596369919E7</v>
      </c>
      <c r="I50" s="25" t="s">
        <v>39</v>
      </c>
      <c r="J50" s="26" t="s">
        <v>33</v>
      </c>
    </row>
    <row r="51" ht="22.5" customHeight="1">
      <c r="A51" s="19">
        <v>46084.0</v>
      </c>
      <c r="B51" s="18">
        <v>46098.0</v>
      </c>
      <c r="C51" s="20">
        <v>7.0</v>
      </c>
      <c r="D51" s="21" t="s">
        <v>58</v>
      </c>
      <c r="E51" s="22" t="s">
        <v>81</v>
      </c>
      <c r="F51" s="24"/>
      <c r="G51" s="23">
        <v>5000.0</v>
      </c>
      <c r="H51" s="17">
        <v>1.562769919E7</v>
      </c>
      <c r="I51" s="25" t="s">
        <v>39</v>
      </c>
      <c r="J51" s="26" t="s">
        <v>33</v>
      </c>
    </row>
    <row r="52" ht="22.5" customHeight="1">
      <c r="A52" s="19">
        <v>46084.0</v>
      </c>
      <c r="B52" s="18">
        <v>46098.0</v>
      </c>
      <c r="C52" s="20">
        <v>7.0</v>
      </c>
      <c r="D52" s="21" t="s">
        <v>58</v>
      </c>
      <c r="E52" s="22" t="s">
        <v>81</v>
      </c>
      <c r="F52" s="24"/>
      <c r="G52" s="23">
        <v>20000.0</v>
      </c>
      <c r="H52" s="17">
        <v>1.564769919E7</v>
      </c>
      <c r="I52" s="25" t="s">
        <v>24</v>
      </c>
      <c r="J52" s="26" t="s">
        <v>24</v>
      </c>
    </row>
    <row r="53" ht="22.5" customHeight="1">
      <c r="A53" s="19">
        <v>46084.0</v>
      </c>
      <c r="B53" s="18">
        <v>46098.0</v>
      </c>
      <c r="C53" s="20">
        <v>17.0</v>
      </c>
      <c r="D53" s="21" t="s">
        <v>82</v>
      </c>
      <c r="E53" s="22" t="s">
        <v>83</v>
      </c>
      <c r="F53" s="23">
        <v>-60000.0</v>
      </c>
      <c r="G53" s="24"/>
      <c r="H53" s="17">
        <v>1.558769919E7</v>
      </c>
      <c r="I53" s="25" t="s">
        <v>39</v>
      </c>
      <c r="J53" s="26" t="s">
        <v>33</v>
      </c>
    </row>
    <row r="54" ht="22.5" customHeight="1">
      <c r="A54" s="19">
        <v>46084.0</v>
      </c>
      <c r="B54" s="18">
        <v>46098.0</v>
      </c>
      <c r="C54" s="20">
        <v>18.0</v>
      </c>
      <c r="D54" s="21" t="s">
        <v>40</v>
      </c>
      <c r="E54" s="22" t="s">
        <v>53</v>
      </c>
      <c r="F54" s="23">
        <v>-50000.0</v>
      </c>
      <c r="G54" s="24"/>
      <c r="H54" s="17">
        <v>1.553769919E7</v>
      </c>
      <c r="I54" s="25" t="s">
        <v>39</v>
      </c>
      <c r="J54" s="26" t="s">
        <v>33</v>
      </c>
    </row>
    <row r="55" ht="22.5" customHeight="1">
      <c r="A55" s="19">
        <v>46084.0</v>
      </c>
      <c r="B55" s="18">
        <v>46098.0</v>
      </c>
      <c r="C55" s="20">
        <v>6.0</v>
      </c>
      <c r="D55" s="21" t="s">
        <v>20</v>
      </c>
      <c r="E55" s="22" t="s">
        <v>84</v>
      </c>
      <c r="F55" s="24"/>
      <c r="G55" s="23">
        <v>300000.0</v>
      </c>
      <c r="H55" s="17">
        <v>1.583769919E7</v>
      </c>
      <c r="I55" s="25" t="s">
        <v>23</v>
      </c>
      <c r="J55" s="26" t="s">
        <v>24</v>
      </c>
    </row>
    <row r="56" ht="22.5" customHeight="1">
      <c r="A56" s="19">
        <v>46084.0</v>
      </c>
      <c r="B56" s="18">
        <v>46098.0</v>
      </c>
      <c r="C56" s="20">
        <v>6.0</v>
      </c>
      <c r="D56" s="21" t="s">
        <v>20</v>
      </c>
      <c r="E56" s="22" t="s">
        <v>85</v>
      </c>
      <c r="F56" s="24"/>
      <c r="G56" s="23">
        <v>70000.0</v>
      </c>
      <c r="H56" s="17">
        <v>1.590769919E7</v>
      </c>
      <c r="I56" s="25" t="s">
        <v>23</v>
      </c>
      <c r="J56" s="26" t="s">
        <v>24</v>
      </c>
    </row>
    <row r="57" ht="22.5" customHeight="1">
      <c r="A57" s="19">
        <v>46084.0</v>
      </c>
      <c r="B57" s="18">
        <v>46098.0</v>
      </c>
      <c r="C57" s="20">
        <v>6.0</v>
      </c>
      <c r="D57" s="21" t="s">
        <v>20</v>
      </c>
      <c r="E57" s="22" t="s">
        <v>86</v>
      </c>
      <c r="F57" s="24"/>
      <c r="G57" s="23">
        <v>30000.0</v>
      </c>
      <c r="H57" s="17">
        <v>1.593769919E7</v>
      </c>
      <c r="I57" s="25" t="s">
        <v>23</v>
      </c>
      <c r="J57" s="26" t="s">
        <v>24</v>
      </c>
    </row>
    <row r="58" ht="22.5" customHeight="1">
      <c r="A58" s="19">
        <v>46084.0</v>
      </c>
      <c r="B58" s="18">
        <v>46098.0</v>
      </c>
      <c r="C58" s="20">
        <v>6.0</v>
      </c>
      <c r="D58" s="21" t="s">
        <v>20</v>
      </c>
      <c r="E58" s="22" t="s">
        <v>87</v>
      </c>
      <c r="F58" s="24"/>
      <c r="G58" s="23">
        <v>50000.0</v>
      </c>
      <c r="H58" s="17">
        <v>1.598769919E7</v>
      </c>
      <c r="I58" s="25" t="s">
        <v>23</v>
      </c>
      <c r="J58" s="26" t="s">
        <v>24</v>
      </c>
    </row>
    <row r="59" ht="22.5" customHeight="1">
      <c r="A59" s="19">
        <v>46084.0</v>
      </c>
      <c r="B59" s="18">
        <v>46098.0</v>
      </c>
      <c r="C59" s="20">
        <v>6.0</v>
      </c>
      <c r="D59" s="21" t="s">
        <v>20</v>
      </c>
      <c r="E59" s="22" t="s">
        <v>88</v>
      </c>
      <c r="F59" s="24"/>
      <c r="G59" s="23">
        <v>100000.0</v>
      </c>
      <c r="H59" s="17">
        <v>1.608769919E7</v>
      </c>
      <c r="I59" s="25" t="s">
        <v>24</v>
      </c>
      <c r="J59" s="26" t="s">
        <v>24</v>
      </c>
    </row>
    <row r="60" ht="22.5" customHeight="1">
      <c r="A60" s="19">
        <v>46084.0</v>
      </c>
      <c r="B60" s="18">
        <v>46097.0</v>
      </c>
      <c r="C60" s="20">
        <v>21.0</v>
      </c>
      <c r="D60" s="21" t="s">
        <v>43</v>
      </c>
      <c r="E60" s="22" t="s">
        <v>89</v>
      </c>
      <c r="F60" s="23">
        <v>-23450.0</v>
      </c>
      <c r="G60" s="24"/>
      <c r="H60" s="17">
        <v>1.565169919E7</v>
      </c>
      <c r="I60" s="25" t="s">
        <v>39</v>
      </c>
      <c r="J60" s="26" t="s">
        <v>33</v>
      </c>
    </row>
    <row r="61" ht="22.5" customHeight="1">
      <c r="A61" s="19">
        <v>46084.0</v>
      </c>
      <c r="B61" s="18">
        <v>46097.0</v>
      </c>
      <c r="C61" s="20">
        <v>35.0</v>
      </c>
      <c r="D61" s="21" t="s">
        <v>68</v>
      </c>
      <c r="E61" s="22" t="s">
        <v>90</v>
      </c>
      <c r="F61" s="23">
        <v>-29000.0</v>
      </c>
      <c r="G61" s="24"/>
      <c r="H61" s="17">
        <v>1.562269919E7</v>
      </c>
      <c r="I61" s="25" t="s">
        <v>39</v>
      </c>
      <c r="J61" s="26" t="s">
        <v>33</v>
      </c>
    </row>
    <row r="62" ht="22.5" customHeight="1">
      <c r="A62" s="19">
        <v>46084.0</v>
      </c>
      <c r="B62" s="18">
        <v>46096.0</v>
      </c>
      <c r="C62" s="20">
        <v>37.0</v>
      </c>
      <c r="D62" s="21" t="s">
        <v>11</v>
      </c>
      <c r="E62" s="22" t="s">
        <v>79</v>
      </c>
      <c r="F62" s="23">
        <v>-20000.0</v>
      </c>
      <c r="G62" s="24"/>
      <c r="H62" s="17">
        <v>1.537015119E7</v>
      </c>
      <c r="I62" s="25" t="s">
        <v>39</v>
      </c>
      <c r="J62" s="26" t="s">
        <v>33</v>
      </c>
    </row>
    <row r="63" ht="22.5" customHeight="1">
      <c r="A63" s="19">
        <v>46084.0</v>
      </c>
      <c r="B63" s="18">
        <v>46096.0</v>
      </c>
      <c r="C63" s="20">
        <v>1.0</v>
      </c>
      <c r="D63" s="21" t="s">
        <v>91</v>
      </c>
      <c r="E63" s="22" t="s">
        <v>92</v>
      </c>
      <c r="F63" s="24"/>
      <c r="G63" s="23">
        <v>476000.0</v>
      </c>
      <c r="H63" s="17">
        <v>1.584615119E7</v>
      </c>
      <c r="I63" s="25" t="s">
        <v>24</v>
      </c>
      <c r="J63" s="26" t="s">
        <v>24</v>
      </c>
    </row>
    <row r="64" ht="22.5" customHeight="1">
      <c r="A64" s="19">
        <v>46084.0</v>
      </c>
      <c r="B64" s="18">
        <v>46096.0</v>
      </c>
      <c r="C64" s="20">
        <v>1.0</v>
      </c>
      <c r="D64" s="21" t="s">
        <v>91</v>
      </c>
      <c r="E64" s="22" t="s">
        <v>92</v>
      </c>
      <c r="F64" s="24"/>
      <c r="G64" s="23">
        <v>81000.0</v>
      </c>
      <c r="H64" s="17">
        <v>1.592715119E7</v>
      </c>
      <c r="I64" s="25" t="s">
        <v>39</v>
      </c>
      <c r="J64" s="26" t="s">
        <v>33</v>
      </c>
    </row>
    <row r="65" ht="22.5" customHeight="1">
      <c r="A65" s="19">
        <v>46084.0</v>
      </c>
      <c r="B65" s="18">
        <v>46096.0</v>
      </c>
      <c r="C65" s="20">
        <v>16.0</v>
      </c>
      <c r="D65" s="21" t="s">
        <v>16</v>
      </c>
      <c r="E65" s="22" t="s">
        <v>17</v>
      </c>
      <c r="F65" s="23">
        <v>-55000.0</v>
      </c>
      <c r="G65" s="24"/>
      <c r="H65" s="17">
        <v>1.587215119E7</v>
      </c>
      <c r="I65" s="25" t="s">
        <v>39</v>
      </c>
      <c r="J65" s="26" t="s">
        <v>33</v>
      </c>
    </row>
    <row r="66" ht="22.5" customHeight="1">
      <c r="A66" s="19">
        <v>46084.0</v>
      </c>
      <c r="B66" s="18">
        <v>46095.0</v>
      </c>
      <c r="C66" s="20">
        <v>37.0</v>
      </c>
      <c r="D66" s="21" t="s">
        <v>11</v>
      </c>
      <c r="E66" s="22" t="s">
        <v>79</v>
      </c>
      <c r="F66" s="23">
        <v>-70000.0</v>
      </c>
      <c r="G66" s="24"/>
      <c r="H66" s="17">
        <v>1.539015119E7</v>
      </c>
      <c r="I66" s="25" t="s">
        <v>39</v>
      </c>
      <c r="J66" s="26" t="s">
        <v>33</v>
      </c>
    </row>
    <row r="67" ht="22.5" customHeight="1">
      <c r="A67" s="27">
        <v>46084.0</v>
      </c>
      <c r="B67" s="28">
        <v>46094.0</v>
      </c>
      <c r="C67" s="29">
        <v>7.0</v>
      </c>
      <c r="D67" s="29" t="s">
        <v>58</v>
      </c>
      <c r="E67" s="29" t="s">
        <v>93</v>
      </c>
      <c r="F67" s="30"/>
      <c r="G67" s="30">
        <v>30000.0</v>
      </c>
      <c r="H67" s="30">
        <f t="shared" ref="H67:H69" si="3">H68+IFERROR(G67,0)+IFERROR(F67,0)</f>
        <v>15465303.39</v>
      </c>
      <c r="I67" s="9" t="s">
        <v>24</v>
      </c>
      <c r="J67" s="9" t="s">
        <v>24</v>
      </c>
      <c r="K67" s="32"/>
    </row>
    <row r="68" ht="22.5" customHeight="1">
      <c r="A68" s="27">
        <v>46084.0</v>
      </c>
      <c r="B68" s="28">
        <v>46094.0</v>
      </c>
      <c r="C68" s="29">
        <v>37.0</v>
      </c>
      <c r="D68" s="29" t="s">
        <v>11</v>
      </c>
      <c r="E68" s="29" t="s">
        <v>28</v>
      </c>
      <c r="F68" s="30">
        <v>-42000.0</v>
      </c>
      <c r="G68" s="30"/>
      <c r="H68" s="30">
        <f t="shared" si="3"/>
        <v>15435303.39</v>
      </c>
      <c r="I68" s="9" t="s">
        <v>24</v>
      </c>
      <c r="J68" s="9" t="s">
        <v>24</v>
      </c>
      <c r="K68" s="31" t="s">
        <v>94</v>
      </c>
    </row>
    <row r="69" ht="22.5" customHeight="1">
      <c r="A69" s="27">
        <v>46084.0</v>
      </c>
      <c r="B69" s="28">
        <v>46094.0</v>
      </c>
      <c r="C69" s="29">
        <v>16.0</v>
      </c>
      <c r="D69" s="29" t="s">
        <v>16</v>
      </c>
      <c r="E69" s="29" t="s">
        <v>95</v>
      </c>
      <c r="F69" s="30">
        <v>-80000.0</v>
      </c>
      <c r="G69" s="30"/>
      <c r="H69" s="30">
        <f t="shared" si="3"/>
        <v>15477303.39</v>
      </c>
      <c r="I69" s="9" t="s">
        <v>24</v>
      </c>
      <c r="J69" s="9" t="s">
        <v>24</v>
      </c>
      <c r="K69" s="32"/>
    </row>
    <row r="70" ht="22.5" customHeight="1">
      <c r="A70" s="19">
        <v>46084.0</v>
      </c>
      <c r="B70" s="18">
        <v>46094.0</v>
      </c>
      <c r="C70" s="20">
        <v>16.0</v>
      </c>
      <c r="D70" s="21" t="s">
        <v>16</v>
      </c>
      <c r="E70" s="22" t="s">
        <v>17</v>
      </c>
      <c r="F70" s="23">
        <v>-62000.0</v>
      </c>
      <c r="G70" s="24"/>
      <c r="H70" s="17">
        <v>1.555730339E7</v>
      </c>
      <c r="I70" s="25" t="s">
        <v>39</v>
      </c>
      <c r="J70" s="26" t="s">
        <v>33</v>
      </c>
    </row>
    <row r="71" ht="22.5" customHeight="1">
      <c r="A71" s="19">
        <v>46084.0</v>
      </c>
      <c r="B71" s="18">
        <v>46094.0</v>
      </c>
      <c r="C71" s="20">
        <v>35.0</v>
      </c>
      <c r="D71" s="21" t="s">
        <v>68</v>
      </c>
      <c r="E71" s="22" t="s">
        <v>96</v>
      </c>
      <c r="F71" s="23">
        <v>-1822296.2</v>
      </c>
      <c r="G71" s="24"/>
      <c r="H71" s="17">
        <v>1.373500719E7</v>
      </c>
      <c r="I71" s="25" t="s">
        <v>39</v>
      </c>
      <c r="J71" s="26" t="s">
        <v>33</v>
      </c>
    </row>
    <row r="72" ht="22.5" customHeight="1">
      <c r="A72" s="19">
        <v>46084.0</v>
      </c>
      <c r="B72" s="18">
        <v>46094.0</v>
      </c>
      <c r="C72" s="20">
        <v>11.0</v>
      </c>
      <c r="D72" s="21" t="s">
        <v>97</v>
      </c>
      <c r="E72" s="22" t="s">
        <v>98</v>
      </c>
      <c r="F72" s="23">
        <v>-400000.0</v>
      </c>
      <c r="G72" s="24"/>
      <c r="H72" s="17">
        <v>1.333500719E7</v>
      </c>
      <c r="I72" s="25" t="s">
        <v>39</v>
      </c>
      <c r="J72" s="26" t="s">
        <v>33</v>
      </c>
    </row>
    <row r="73" ht="22.5" customHeight="1">
      <c r="A73" s="19">
        <v>46084.0</v>
      </c>
      <c r="B73" s="18">
        <v>46094.0</v>
      </c>
      <c r="C73" s="20">
        <v>10.0</v>
      </c>
      <c r="D73" s="21" t="s">
        <v>99</v>
      </c>
      <c r="E73" s="22" t="s">
        <v>100</v>
      </c>
      <c r="F73" s="23">
        <v>-205000.0</v>
      </c>
      <c r="G73" s="24"/>
      <c r="H73" s="17">
        <v>1.313000719E7</v>
      </c>
      <c r="I73" s="25" t="s">
        <v>39</v>
      </c>
      <c r="J73" s="26" t="s">
        <v>33</v>
      </c>
    </row>
    <row r="74" ht="22.5" customHeight="1">
      <c r="A74" s="19">
        <v>46084.0</v>
      </c>
      <c r="B74" s="18">
        <v>46094.0</v>
      </c>
      <c r="C74" s="20">
        <v>23.0</v>
      </c>
      <c r="D74" s="21" t="s">
        <v>72</v>
      </c>
      <c r="E74" s="22" t="s">
        <v>101</v>
      </c>
      <c r="F74" s="23">
        <v>-301716.0</v>
      </c>
      <c r="G74" s="24"/>
      <c r="H74" s="17">
        <v>1.282829119E7</v>
      </c>
      <c r="I74" s="25" t="s">
        <v>39</v>
      </c>
      <c r="J74" s="26" t="s">
        <v>33</v>
      </c>
    </row>
    <row r="75" ht="22.5" customHeight="1">
      <c r="A75" s="19">
        <v>46084.0</v>
      </c>
      <c r="B75" s="18">
        <v>46094.0</v>
      </c>
      <c r="C75" s="20">
        <v>6.0</v>
      </c>
      <c r="D75" s="21" t="s">
        <v>20</v>
      </c>
      <c r="E75" s="22" t="s">
        <v>102</v>
      </c>
      <c r="F75" s="24"/>
      <c r="G75" s="23">
        <v>200000.0</v>
      </c>
      <c r="H75" s="17">
        <v>1.302829119E7</v>
      </c>
      <c r="I75" s="25" t="s">
        <v>24</v>
      </c>
      <c r="J75" s="26" t="s">
        <v>24</v>
      </c>
    </row>
    <row r="76" ht="22.5" customHeight="1">
      <c r="A76" s="19">
        <v>46084.0</v>
      </c>
      <c r="B76" s="18">
        <v>46094.0</v>
      </c>
      <c r="C76" s="20">
        <v>6.0</v>
      </c>
      <c r="D76" s="21" t="s">
        <v>20</v>
      </c>
      <c r="E76" s="22" t="s">
        <v>103</v>
      </c>
      <c r="F76" s="23">
        <v>-300000.0</v>
      </c>
      <c r="G76" s="23">
        <v>500000.0</v>
      </c>
      <c r="H76" s="17">
        <v>1.322829119E7</v>
      </c>
      <c r="I76" s="25" t="s">
        <v>24</v>
      </c>
      <c r="J76" s="26" t="s">
        <v>24</v>
      </c>
    </row>
    <row r="77" ht="22.5" customHeight="1">
      <c r="A77" s="19">
        <v>46084.0</v>
      </c>
      <c r="B77" s="18">
        <v>46094.0</v>
      </c>
      <c r="C77" s="20">
        <v>7.0</v>
      </c>
      <c r="D77" s="21" t="s">
        <v>58</v>
      </c>
      <c r="E77" s="22" t="s">
        <v>104</v>
      </c>
      <c r="F77" s="23">
        <v>-1045800.0</v>
      </c>
      <c r="G77" s="23">
        <v>1952000.0</v>
      </c>
      <c r="H77" s="17">
        <v>1.413449119E7</v>
      </c>
      <c r="I77" s="25" t="s">
        <v>39</v>
      </c>
      <c r="J77" s="26" t="s">
        <v>33</v>
      </c>
    </row>
    <row r="78" ht="22.5" customHeight="1">
      <c r="A78" s="19">
        <v>46084.0</v>
      </c>
      <c r="B78" s="18">
        <v>46094.0</v>
      </c>
      <c r="C78" s="20">
        <v>7.0</v>
      </c>
      <c r="D78" s="21" t="s">
        <v>58</v>
      </c>
      <c r="E78" s="22" t="s">
        <v>105</v>
      </c>
      <c r="F78" s="23">
        <v>-1335340.0</v>
      </c>
      <c r="G78" s="23">
        <v>1870000.0</v>
      </c>
      <c r="H78" s="17">
        <v>1.466915119E7</v>
      </c>
      <c r="I78" s="25" t="s">
        <v>39</v>
      </c>
      <c r="J78" s="26" t="s">
        <v>33</v>
      </c>
    </row>
    <row r="79" ht="22.5" customHeight="1">
      <c r="A79" s="19">
        <v>46084.0</v>
      </c>
      <c r="B79" s="18">
        <v>46094.0</v>
      </c>
      <c r="C79" s="20">
        <v>35.0</v>
      </c>
      <c r="D79" s="21" t="s">
        <v>68</v>
      </c>
      <c r="E79" s="22" t="s">
        <v>106</v>
      </c>
      <c r="F79" s="24"/>
      <c r="G79" s="23">
        <v>60000.0</v>
      </c>
      <c r="H79" s="17">
        <v>1.472915119E7</v>
      </c>
      <c r="I79" s="25" t="s">
        <v>39</v>
      </c>
      <c r="J79" s="26" t="s">
        <v>33</v>
      </c>
    </row>
    <row r="80" ht="22.5" customHeight="1">
      <c r="A80" s="19">
        <v>46084.0</v>
      </c>
      <c r="B80" s="18">
        <v>46094.0</v>
      </c>
      <c r="C80" s="20">
        <v>35.0</v>
      </c>
      <c r="D80" s="21" t="s">
        <v>68</v>
      </c>
      <c r="E80" s="22" t="s">
        <v>107</v>
      </c>
      <c r="F80" s="23">
        <v>-70000.0</v>
      </c>
      <c r="G80" s="23">
        <v>301000.0</v>
      </c>
      <c r="H80" s="17">
        <v>1.496015119E7</v>
      </c>
      <c r="I80" s="25" t="s">
        <v>39</v>
      </c>
      <c r="J80" s="26" t="s">
        <v>33</v>
      </c>
    </row>
    <row r="81" ht="22.5" customHeight="1">
      <c r="A81" s="19">
        <v>46084.0</v>
      </c>
      <c r="B81" s="18">
        <v>46094.0</v>
      </c>
      <c r="C81" s="20">
        <v>7.0</v>
      </c>
      <c r="D81" s="21" t="s">
        <v>58</v>
      </c>
      <c r="E81" s="22" t="s">
        <v>108</v>
      </c>
      <c r="F81" s="23">
        <v>-500000.0</v>
      </c>
      <c r="G81" s="23">
        <v>400000.0</v>
      </c>
      <c r="H81" s="17">
        <v>1.486015119E7</v>
      </c>
      <c r="I81" s="25" t="s">
        <v>39</v>
      </c>
      <c r="J81" s="26" t="s">
        <v>33</v>
      </c>
    </row>
    <row r="82" ht="22.5" customHeight="1">
      <c r="A82" s="19">
        <v>46084.0</v>
      </c>
      <c r="B82" s="18">
        <v>46094.0</v>
      </c>
      <c r="C82" s="20">
        <v>6.0</v>
      </c>
      <c r="D82" s="21" t="s">
        <v>20</v>
      </c>
      <c r="E82" s="22" t="s">
        <v>109</v>
      </c>
      <c r="F82" s="24"/>
      <c r="G82" s="23">
        <v>500000.0</v>
      </c>
      <c r="H82" s="17">
        <v>1.536015119E7</v>
      </c>
      <c r="I82" s="25" t="s">
        <v>24</v>
      </c>
      <c r="J82" s="26" t="s">
        <v>24</v>
      </c>
    </row>
    <row r="83" ht="22.5" customHeight="1">
      <c r="A83" s="19">
        <v>46084.0</v>
      </c>
      <c r="B83" s="18">
        <v>46094.0</v>
      </c>
      <c r="C83" s="20">
        <v>6.0</v>
      </c>
      <c r="D83" s="21" t="s">
        <v>20</v>
      </c>
      <c r="E83" s="22" t="s">
        <v>110</v>
      </c>
      <c r="F83" s="24"/>
      <c r="G83" s="23">
        <v>100000.0</v>
      </c>
      <c r="H83" s="17">
        <v>1.546015119E7</v>
      </c>
      <c r="I83" s="25" t="s">
        <v>24</v>
      </c>
      <c r="J83" s="26" t="s">
        <v>24</v>
      </c>
    </row>
    <row r="84" ht="22.5" customHeight="1">
      <c r="A84" s="19">
        <v>46084.0</v>
      </c>
      <c r="B84" s="18">
        <v>46093.0</v>
      </c>
      <c r="C84" s="20">
        <v>26.0</v>
      </c>
      <c r="D84" s="21" t="s">
        <v>111</v>
      </c>
      <c r="E84" s="22" t="s">
        <v>112</v>
      </c>
      <c r="F84" s="23">
        <v>-234848.9</v>
      </c>
      <c r="G84" s="24"/>
      <c r="H84" s="17">
        <v>1.549418796E7</v>
      </c>
      <c r="I84" s="25" t="s">
        <v>39</v>
      </c>
      <c r="J84" s="26" t="s">
        <v>33</v>
      </c>
    </row>
    <row r="85" ht="22.5" customHeight="1">
      <c r="A85" s="19">
        <v>46084.0</v>
      </c>
      <c r="B85" s="18">
        <v>46093.0</v>
      </c>
      <c r="C85" s="20">
        <v>6.0</v>
      </c>
      <c r="D85" s="21" t="s">
        <v>20</v>
      </c>
      <c r="E85" s="22" t="s">
        <v>113</v>
      </c>
      <c r="F85" s="24"/>
      <c r="G85" s="23">
        <v>125000.0</v>
      </c>
      <c r="H85" s="17">
        <v>1.561918796E7</v>
      </c>
      <c r="I85" s="25" t="s">
        <v>23</v>
      </c>
      <c r="J85" s="26" t="s">
        <v>24</v>
      </c>
    </row>
    <row r="86" ht="22.5" customHeight="1">
      <c r="A86" s="19">
        <v>46084.0</v>
      </c>
      <c r="B86" s="18">
        <v>46093.0</v>
      </c>
      <c r="C86" s="20">
        <v>16.0</v>
      </c>
      <c r="D86" s="21" t="s">
        <v>16</v>
      </c>
      <c r="E86" s="22" t="s">
        <v>114</v>
      </c>
      <c r="F86" s="23">
        <v>-54884.57</v>
      </c>
      <c r="G86" s="24"/>
      <c r="H86" s="17">
        <v>1.556430339E7</v>
      </c>
      <c r="I86" s="25" t="s">
        <v>24</v>
      </c>
      <c r="J86" s="26" t="s">
        <v>24</v>
      </c>
    </row>
    <row r="87" ht="22.5" customHeight="1">
      <c r="A87" s="19">
        <v>46084.0</v>
      </c>
      <c r="B87" s="18">
        <v>46093.0</v>
      </c>
      <c r="C87" s="20">
        <v>16.0</v>
      </c>
      <c r="D87" s="21" t="s">
        <v>16</v>
      </c>
      <c r="E87" s="22" t="s">
        <v>115</v>
      </c>
      <c r="F87" s="24"/>
      <c r="G87" s="23">
        <v>55000.0</v>
      </c>
      <c r="H87" s="17">
        <v>1.561930339E7</v>
      </c>
      <c r="I87" s="25" t="s">
        <v>23</v>
      </c>
      <c r="J87" s="26" t="s">
        <v>24</v>
      </c>
    </row>
    <row r="88" ht="22.5" customHeight="1">
      <c r="A88" s="19">
        <v>46084.0</v>
      </c>
      <c r="B88" s="18">
        <v>46092.0</v>
      </c>
      <c r="C88" s="20">
        <v>1.0</v>
      </c>
      <c r="D88" s="21" t="s">
        <v>91</v>
      </c>
      <c r="E88" s="22" t="s">
        <v>116</v>
      </c>
      <c r="F88" s="23">
        <v>-18000.0</v>
      </c>
      <c r="G88" s="24"/>
      <c r="H88" s="17">
        <v>1.624206298E7</v>
      </c>
      <c r="I88" s="25" t="s">
        <v>39</v>
      </c>
      <c r="J88" s="26" t="s">
        <v>33</v>
      </c>
    </row>
    <row r="89" ht="22.5" customHeight="1">
      <c r="A89" s="19">
        <v>46084.0</v>
      </c>
      <c r="B89" s="18">
        <v>46092.0</v>
      </c>
      <c r="C89" s="20">
        <v>4.0</v>
      </c>
      <c r="D89" s="21" t="s">
        <v>117</v>
      </c>
      <c r="E89" s="22" t="s">
        <v>116</v>
      </c>
      <c r="F89" s="23">
        <v>-5000.0</v>
      </c>
      <c r="G89" s="24"/>
      <c r="H89" s="17">
        <v>1.623706298E7</v>
      </c>
      <c r="I89" s="25" t="s">
        <v>39</v>
      </c>
      <c r="J89" s="26" t="s">
        <v>33</v>
      </c>
    </row>
    <row r="90" ht="22.5" customHeight="1">
      <c r="A90" s="19">
        <v>46084.0</v>
      </c>
      <c r="B90" s="18">
        <v>46092.0</v>
      </c>
      <c r="C90" s="20">
        <v>21.0</v>
      </c>
      <c r="D90" s="21" t="s">
        <v>43</v>
      </c>
      <c r="E90" s="22" t="s">
        <v>118</v>
      </c>
      <c r="F90" s="23">
        <v>-16513.06</v>
      </c>
      <c r="G90" s="24"/>
      <c r="H90" s="17">
        <v>1.622054992E7</v>
      </c>
      <c r="I90" s="25" t="s">
        <v>39</v>
      </c>
      <c r="J90" s="26" t="s">
        <v>33</v>
      </c>
    </row>
    <row r="91" ht="22.5" customHeight="1">
      <c r="A91" s="19">
        <v>46084.0</v>
      </c>
      <c r="B91" s="18">
        <v>46092.0</v>
      </c>
      <c r="C91" s="20">
        <v>35.0</v>
      </c>
      <c r="D91" s="21" t="s">
        <v>68</v>
      </c>
      <c r="E91" s="22" t="s">
        <v>119</v>
      </c>
      <c r="F91" s="23">
        <v>-490000.0</v>
      </c>
      <c r="G91" s="24"/>
      <c r="H91" s="17">
        <v>1.573054992E7</v>
      </c>
      <c r="I91" s="25" t="s">
        <v>39</v>
      </c>
      <c r="J91" s="26" t="s">
        <v>33</v>
      </c>
    </row>
    <row r="92" ht="22.5" customHeight="1">
      <c r="A92" s="19">
        <v>46084.0</v>
      </c>
      <c r="B92" s="18">
        <v>46092.0</v>
      </c>
      <c r="C92" s="20">
        <v>21.0</v>
      </c>
      <c r="D92" s="21" t="s">
        <v>43</v>
      </c>
      <c r="E92" s="22" t="s">
        <v>118</v>
      </c>
      <c r="F92" s="23">
        <v>-16513.06</v>
      </c>
      <c r="G92" s="24"/>
      <c r="H92" s="17">
        <v>1.571403686E7</v>
      </c>
      <c r="I92" s="25" t="s">
        <v>39</v>
      </c>
      <c r="J92" s="26" t="s">
        <v>33</v>
      </c>
    </row>
    <row r="93" ht="22.5" customHeight="1">
      <c r="A93" s="19">
        <v>46084.0</v>
      </c>
      <c r="B93" s="18">
        <v>46092.0</v>
      </c>
      <c r="C93" s="20">
        <v>6.0</v>
      </c>
      <c r="D93" s="21" t="s">
        <v>20</v>
      </c>
      <c r="E93" s="22" t="s">
        <v>120</v>
      </c>
      <c r="F93" s="24"/>
      <c r="G93" s="23">
        <v>15000.0</v>
      </c>
      <c r="H93" s="17">
        <v>1.572903686E7</v>
      </c>
      <c r="I93" s="25" t="s">
        <v>39</v>
      </c>
      <c r="J93" s="26" t="s">
        <v>33</v>
      </c>
    </row>
    <row r="94" ht="22.5" customHeight="1">
      <c r="A94" s="19">
        <v>46084.0</v>
      </c>
      <c r="B94" s="18">
        <v>46091.0</v>
      </c>
      <c r="C94" s="20">
        <v>21.0</v>
      </c>
      <c r="D94" s="21" t="s">
        <v>43</v>
      </c>
      <c r="E94" s="22" t="s">
        <v>121</v>
      </c>
      <c r="F94" s="23">
        <v>-45000.0</v>
      </c>
      <c r="G94" s="24"/>
      <c r="H94" s="17">
        <v>1.630381065E7</v>
      </c>
      <c r="I94" s="25" t="s">
        <v>39</v>
      </c>
      <c r="J94" s="26" t="s">
        <v>33</v>
      </c>
    </row>
    <row r="95" ht="22.5" customHeight="1">
      <c r="A95" s="19">
        <v>46084.0</v>
      </c>
      <c r="B95" s="18">
        <v>46091.0</v>
      </c>
      <c r="C95" s="20">
        <v>21.0</v>
      </c>
      <c r="D95" s="21" t="s">
        <v>43</v>
      </c>
      <c r="E95" s="22" t="s">
        <v>122</v>
      </c>
      <c r="F95" s="23">
        <v>-45000.0</v>
      </c>
      <c r="G95" s="24"/>
      <c r="H95" s="17">
        <v>1.625881065E7</v>
      </c>
      <c r="I95" s="25" t="s">
        <v>39</v>
      </c>
      <c r="J95" s="26" t="s">
        <v>33</v>
      </c>
    </row>
    <row r="96" ht="22.5" customHeight="1">
      <c r="A96" s="19">
        <v>46084.0</v>
      </c>
      <c r="B96" s="18">
        <v>46091.0</v>
      </c>
      <c r="C96" s="20">
        <v>21.0</v>
      </c>
      <c r="D96" s="21" t="s">
        <v>43</v>
      </c>
      <c r="E96" s="22" t="s">
        <v>123</v>
      </c>
      <c r="F96" s="23">
        <v>-15000.0</v>
      </c>
      <c r="G96" s="24"/>
      <c r="H96" s="17">
        <v>1.624381065E7</v>
      </c>
      <c r="I96" s="25" t="s">
        <v>39</v>
      </c>
      <c r="J96" s="26" t="s">
        <v>33</v>
      </c>
    </row>
    <row r="97" ht="22.5" customHeight="1">
      <c r="A97" s="19">
        <v>46084.0</v>
      </c>
      <c r="B97" s="18">
        <v>46091.0</v>
      </c>
      <c r="C97" s="20">
        <v>49.0</v>
      </c>
      <c r="D97" s="21" t="s">
        <v>124</v>
      </c>
      <c r="E97" s="22" t="s">
        <v>125</v>
      </c>
      <c r="F97" s="23">
        <v>-3000000.0</v>
      </c>
      <c r="G97" s="23">
        <v>3000000.0</v>
      </c>
      <c r="H97" s="17">
        <v>1.624381065E7</v>
      </c>
      <c r="I97" s="25" t="s">
        <v>23</v>
      </c>
      <c r="J97" s="26" t="s">
        <v>33</v>
      </c>
    </row>
    <row r="98" ht="22.5" customHeight="1">
      <c r="A98" s="19">
        <v>46084.0</v>
      </c>
      <c r="B98" s="18">
        <v>46091.0</v>
      </c>
      <c r="C98" s="20">
        <v>9.0</v>
      </c>
      <c r="D98" s="21" t="s">
        <v>126</v>
      </c>
      <c r="E98" s="22" t="s">
        <v>127</v>
      </c>
      <c r="F98" s="24"/>
      <c r="G98" s="23">
        <v>78252.33</v>
      </c>
      <c r="H98" s="17">
        <v>1.632206298E7</v>
      </c>
      <c r="I98" s="25" t="s">
        <v>39</v>
      </c>
      <c r="J98" s="26" t="s">
        <v>33</v>
      </c>
    </row>
    <row r="99" ht="22.5" customHeight="1">
      <c r="A99" s="19">
        <v>46084.0</v>
      </c>
      <c r="B99" s="18">
        <v>46091.0</v>
      </c>
      <c r="C99" s="20">
        <v>16.0</v>
      </c>
      <c r="D99" s="21" t="s">
        <v>16</v>
      </c>
      <c r="E99" s="22" t="s">
        <v>17</v>
      </c>
      <c r="F99" s="23">
        <v>-62000.0</v>
      </c>
      <c r="G99" s="24"/>
      <c r="H99" s="17">
        <v>1.626006298E7</v>
      </c>
      <c r="I99" s="25" t="s">
        <v>39</v>
      </c>
      <c r="J99" s="26" t="s">
        <v>33</v>
      </c>
    </row>
    <row r="100" ht="22.5" customHeight="1">
      <c r="A100" s="19">
        <v>46084.0</v>
      </c>
      <c r="B100" s="18">
        <v>46090.0</v>
      </c>
      <c r="C100" s="20">
        <v>18.0</v>
      </c>
      <c r="D100" s="21" t="s">
        <v>40</v>
      </c>
      <c r="E100" s="22" t="s">
        <v>53</v>
      </c>
      <c r="F100" s="23">
        <v>-200000.0</v>
      </c>
      <c r="G100" s="24"/>
      <c r="H100" s="17">
        <v>1.671881065E7</v>
      </c>
      <c r="I100" s="25" t="s">
        <v>39</v>
      </c>
      <c r="J100" s="26" t="s">
        <v>33</v>
      </c>
    </row>
    <row r="101" ht="22.5" customHeight="1">
      <c r="A101" s="19">
        <v>46084.0</v>
      </c>
      <c r="B101" s="18">
        <v>46090.0</v>
      </c>
      <c r="C101" s="20">
        <v>18.0</v>
      </c>
      <c r="D101" s="21" t="s">
        <v>40</v>
      </c>
      <c r="E101" s="22" t="s">
        <v>53</v>
      </c>
      <c r="F101" s="23">
        <v>-200000.0</v>
      </c>
      <c r="G101" s="24"/>
      <c r="H101" s="17">
        <v>1.651881065E7</v>
      </c>
      <c r="I101" s="25" t="s">
        <v>39</v>
      </c>
      <c r="J101" s="26" t="s">
        <v>33</v>
      </c>
    </row>
    <row r="102" ht="22.5" customHeight="1">
      <c r="A102" s="19">
        <v>46084.0</v>
      </c>
      <c r="B102" s="18">
        <v>46090.0</v>
      </c>
      <c r="C102" s="20">
        <v>37.0</v>
      </c>
      <c r="D102" s="21" t="s">
        <v>11</v>
      </c>
      <c r="E102" s="22" t="s">
        <v>128</v>
      </c>
      <c r="F102" s="23">
        <v>-200000.0</v>
      </c>
      <c r="G102" s="24"/>
      <c r="H102" s="17">
        <v>1.631881065E7</v>
      </c>
      <c r="I102" s="25" t="s">
        <v>39</v>
      </c>
      <c r="J102" s="26" t="s">
        <v>33</v>
      </c>
    </row>
    <row r="103" ht="22.5" customHeight="1">
      <c r="A103" s="19">
        <v>46084.0</v>
      </c>
      <c r="B103" s="18">
        <v>46090.0</v>
      </c>
      <c r="C103" s="20">
        <v>6.0</v>
      </c>
      <c r="D103" s="21" t="s">
        <v>20</v>
      </c>
      <c r="E103" s="22" t="s">
        <v>129</v>
      </c>
      <c r="F103" s="24"/>
      <c r="G103" s="23">
        <v>30000.0</v>
      </c>
      <c r="H103" s="17">
        <v>1.634881065E7</v>
      </c>
      <c r="I103" s="25" t="s">
        <v>23</v>
      </c>
      <c r="J103" s="26" t="s">
        <v>24</v>
      </c>
    </row>
    <row r="104" ht="22.5" customHeight="1">
      <c r="A104" s="27">
        <v>46084.0</v>
      </c>
      <c r="B104" s="28">
        <v>46087.0</v>
      </c>
      <c r="C104" s="29">
        <v>16.0</v>
      </c>
      <c r="D104" s="29" t="s">
        <v>16</v>
      </c>
      <c r="E104" s="29" t="s">
        <v>95</v>
      </c>
      <c r="F104" s="30">
        <v>-80000.0</v>
      </c>
      <c r="G104" s="30"/>
      <c r="H104" s="30">
        <f t="shared" ref="H104:H106" si="4">H105+IFERROR(G104,0)+IFERROR(F104,0)</f>
        <v>17474498.65</v>
      </c>
      <c r="I104" s="9" t="s">
        <v>24</v>
      </c>
      <c r="J104" s="9" t="s">
        <v>24</v>
      </c>
      <c r="K104" s="32"/>
    </row>
    <row r="105" ht="22.5" customHeight="1">
      <c r="A105" s="27">
        <v>46084.0</v>
      </c>
      <c r="B105" s="28">
        <v>46087.0</v>
      </c>
      <c r="C105" s="29">
        <v>37.0</v>
      </c>
      <c r="D105" s="29" t="s">
        <v>11</v>
      </c>
      <c r="E105" s="29" t="s">
        <v>130</v>
      </c>
      <c r="F105" s="30">
        <v>-49000.0</v>
      </c>
      <c r="G105" s="30"/>
      <c r="H105" s="30">
        <f t="shared" si="4"/>
        <v>17554498.65</v>
      </c>
      <c r="I105" s="9" t="s">
        <v>24</v>
      </c>
      <c r="J105" s="9" t="s">
        <v>24</v>
      </c>
      <c r="K105" s="31" t="s">
        <v>131</v>
      </c>
    </row>
    <row r="106" ht="22.5" customHeight="1">
      <c r="A106" s="27">
        <v>46084.0</v>
      </c>
      <c r="B106" s="28">
        <v>46087.0</v>
      </c>
      <c r="C106" s="29">
        <v>20.0</v>
      </c>
      <c r="D106" s="29" t="s">
        <v>45</v>
      </c>
      <c r="E106" s="29" t="s">
        <v>132</v>
      </c>
      <c r="F106" s="30">
        <v>-54000.0</v>
      </c>
      <c r="G106" s="30"/>
      <c r="H106" s="30">
        <f t="shared" si="4"/>
        <v>17603498.65</v>
      </c>
      <c r="I106" s="9" t="s">
        <v>24</v>
      </c>
      <c r="J106" s="9" t="s">
        <v>24</v>
      </c>
      <c r="K106" s="32"/>
    </row>
    <row r="107" ht="22.5" customHeight="1">
      <c r="A107" s="19">
        <v>46084.0</v>
      </c>
      <c r="B107" s="18">
        <v>46087.0</v>
      </c>
      <c r="C107" s="20">
        <v>37.0</v>
      </c>
      <c r="D107" s="21" t="s">
        <v>11</v>
      </c>
      <c r="E107" s="22" t="s">
        <v>133</v>
      </c>
      <c r="F107" s="23">
        <v>-110000.0</v>
      </c>
      <c r="G107" s="24"/>
      <c r="H107" s="17">
        <v>1.765749865E7</v>
      </c>
      <c r="I107" s="25" t="s">
        <v>39</v>
      </c>
      <c r="J107" s="26" t="s">
        <v>33</v>
      </c>
    </row>
    <row r="108" ht="22.5" customHeight="1">
      <c r="A108" s="19">
        <v>46084.0</v>
      </c>
      <c r="B108" s="18">
        <v>46087.0</v>
      </c>
      <c r="C108" s="20">
        <v>35.0</v>
      </c>
      <c r="D108" s="21" t="s">
        <v>68</v>
      </c>
      <c r="E108" s="22" t="s">
        <v>134</v>
      </c>
      <c r="F108" s="24"/>
      <c r="G108" s="23">
        <v>15000.0</v>
      </c>
      <c r="H108" s="17">
        <v>1.767249865E7</v>
      </c>
      <c r="I108" s="25" t="s">
        <v>39</v>
      </c>
      <c r="J108" s="26" t="s">
        <v>33</v>
      </c>
    </row>
    <row r="109" ht="22.5" customHeight="1">
      <c r="A109" s="19">
        <v>46084.0</v>
      </c>
      <c r="B109" s="18">
        <v>46087.0</v>
      </c>
      <c r="C109" s="20">
        <v>37.0</v>
      </c>
      <c r="D109" s="21" t="s">
        <v>11</v>
      </c>
      <c r="E109" s="22" t="s">
        <v>135</v>
      </c>
      <c r="F109" s="23">
        <v>-24664.0</v>
      </c>
      <c r="G109" s="24"/>
      <c r="H109" s="17">
        <v>1.764783465E7</v>
      </c>
      <c r="I109" s="25" t="s">
        <v>39</v>
      </c>
      <c r="J109" s="26" t="s">
        <v>33</v>
      </c>
    </row>
    <row r="110" ht="22.5" customHeight="1">
      <c r="A110" s="19">
        <v>46084.0</v>
      </c>
      <c r="B110" s="18">
        <v>46087.0</v>
      </c>
      <c r="C110" s="20">
        <v>37.0</v>
      </c>
      <c r="D110" s="21" t="s">
        <v>11</v>
      </c>
      <c r="E110" s="22" t="s">
        <v>136</v>
      </c>
      <c r="F110" s="23">
        <v>-24024.0</v>
      </c>
      <c r="G110" s="24"/>
      <c r="H110" s="17">
        <v>1.762381065E7</v>
      </c>
      <c r="I110" s="25" t="s">
        <v>39</v>
      </c>
      <c r="J110" s="26" t="s">
        <v>33</v>
      </c>
    </row>
    <row r="111" ht="22.5" customHeight="1">
      <c r="A111" s="19">
        <v>46084.0</v>
      </c>
      <c r="B111" s="18">
        <v>46087.0</v>
      </c>
      <c r="C111" s="20">
        <v>37.0</v>
      </c>
      <c r="D111" s="21" t="s">
        <v>11</v>
      </c>
      <c r="E111" s="22" t="s">
        <v>137</v>
      </c>
      <c r="F111" s="23">
        <v>-84000.0</v>
      </c>
      <c r="G111" s="24"/>
      <c r="H111" s="17">
        <v>1.753981065E7</v>
      </c>
      <c r="I111" s="25" t="s">
        <v>39</v>
      </c>
      <c r="J111" s="26" t="s">
        <v>33</v>
      </c>
    </row>
    <row r="112" ht="22.5" customHeight="1">
      <c r="A112" s="19">
        <v>46084.0</v>
      </c>
      <c r="B112" s="18">
        <v>46087.0</v>
      </c>
      <c r="C112" s="20">
        <v>18.0</v>
      </c>
      <c r="D112" s="21" t="s">
        <v>40</v>
      </c>
      <c r="E112" s="22" t="s">
        <v>53</v>
      </c>
      <c r="F112" s="23">
        <v>-600000.0</v>
      </c>
      <c r="G112" s="24"/>
      <c r="H112" s="17">
        <v>1.693981065E7</v>
      </c>
      <c r="I112" s="25" t="s">
        <v>24</v>
      </c>
      <c r="J112" s="26" t="s">
        <v>24</v>
      </c>
    </row>
    <row r="113" ht="22.5" customHeight="1">
      <c r="A113" s="19">
        <v>46084.0</v>
      </c>
      <c r="B113" s="18">
        <v>46087.0</v>
      </c>
      <c r="C113" s="20">
        <v>37.0</v>
      </c>
      <c r="D113" s="21" t="s">
        <v>11</v>
      </c>
      <c r="E113" s="22" t="s">
        <v>138</v>
      </c>
      <c r="F113" s="23">
        <v>-21000.0</v>
      </c>
      <c r="G113" s="24"/>
      <c r="H113" s="17">
        <v>1.691881065E7</v>
      </c>
      <c r="I113" s="25" t="s">
        <v>24</v>
      </c>
      <c r="J113" s="26" t="s">
        <v>24</v>
      </c>
    </row>
    <row r="114" ht="22.5" customHeight="1">
      <c r="A114" s="19">
        <v>46084.0</v>
      </c>
      <c r="B114" s="18">
        <v>46086.0</v>
      </c>
      <c r="C114" s="20">
        <v>21.0</v>
      </c>
      <c r="D114" s="21" t="s">
        <v>43</v>
      </c>
      <c r="E114" s="22" t="s">
        <v>139</v>
      </c>
      <c r="F114" s="23">
        <v>-220000.0</v>
      </c>
      <c r="G114" s="24"/>
      <c r="H114" s="17">
        <v>1.787526865E7</v>
      </c>
      <c r="I114" s="25" t="s">
        <v>39</v>
      </c>
      <c r="J114" s="26" t="s">
        <v>33</v>
      </c>
    </row>
    <row r="115" ht="22.5" customHeight="1">
      <c r="A115" s="19">
        <v>46084.0</v>
      </c>
      <c r="B115" s="18">
        <v>46086.0</v>
      </c>
      <c r="C115" s="20">
        <v>37.0</v>
      </c>
      <c r="D115" s="21" t="s">
        <v>11</v>
      </c>
      <c r="E115" s="22" t="s">
        <v>135</v>
      </c>
      <c r="F115" s="23">
        <v>-17770.0</v>
      </c>
      <c r="G115" s="24"/>
      <c r="H115" s="17">
        <v>1.785749865E7</v>
      </c>
      <c r="I115" s="25" t="s">
        <v>39</v>
      </c>
      <c r="J115" s="26" t="s">
        <v>33</v>
      </c>
    </row>
    <row r="116" ht="22.5" customHeight="1">
      <c r="A116" s="19">
        <v>46084.0</v>
      </c>
      <c r="B116" s="18">
        <v>46086.0</v>
      </c>
      <c r="C116" s="20">
        <v>21.0</v>
      </c>
      <c r="D116" s="21" t="s">
        <v>43</v>
      </c>
      <c r="E116" s="22" t="s">
        <v>140</v>
      </c>
      <c r="F116" s="23">
        <v>-90000.0</v>
      </c>
      <c r="G116" s="24"/>
      <c r="H116" s="17">
        <v>1.776749865E7</v>
      </c>
      <c r="I116" s="25" t="s">
        <v>39</v>
      </c>
      <c r="J116" s="26" t="s">
        <v>33</v>
      </c>
    </row>
    <row r="117" ht="22.5" customHeight="1">
      <c r="A117" s="19">
        <v>46084.0</v>
      </c>
      <c r="B117" s="18">
        <v>46085.0</v>
      </c>
      <c r="C117" s="20">
        <v>21.0</v>
      </c>
      <c r="D117" s="21" t="s">
        <v>43</v>
      </c>
      <c r="E117" s="22" t="s">
        <v>141</v>
      </c>
      <c r="F117" s="23">
        <v>-39303.64</v>
      </c>
      <c r="G117" s="24"/>
      <c r="H117" s="17">
        <v>1.809526865E7</v>
      </c>
      <c r="I117" s="25" t="s">
        <v>39</v>
      </c>
      <c r="J117" s="26" t="s">
        <v>33</v>
      </c>
    </row>
    <row r="118" ht="22.5" customHeight="1">
      <c r="A118" s="19">
        <v>46084.0</v>
      </c>
      <c r="B118" s="18">
        <v>46084.0</v>
      </c>
      <c r="C118" s="20">
        <v>37.0</v>
      </c>
      <c r="D118" s="21" t="s">
        <v>11</v>
      </c>
      <c r="E118" s="22" t="s">
        <v>142</v>
      </c>
      <c r="F118" s="23">
        <v>-20000.0</v>
      </c>
      <c r="G118" s="24"/>
      <c r="H118" s="17">
        <v>1.818957229E7</v>
      </c>
      <c r="I118" s="25" t="s">
        <v>39</v>
      </c>
      <c r="J118" s="26" t="s">
        <v>33</v>
      </c>
    </row>
    <row r="119" ht="22.5" customHeight="1">
      <c r="A119" s="19">
        <v>46084.0</v>
      </c>
      <c r="B119" s="18">
        <v>46084.0</v>
      </c>
      <c r="C119" s="20">
        <v>16.0</v>
      </c>
      <c r="D119" s="21" t="s">
        <v>16</v>
      </c>
      <c r="E119" s="22" t="s">
        <v>17</v>
      </c>
      <c r="F119" s="23">
        <v>-55000.0</v>
      </c>
      <c r="G119" s="24"/>
      <c r="H119" s="17">
        <v>1.813457229E7</v>
      </c>
      <c r="I119" s="25" t="s">
        <v>39</v>
      </c>
      <c r="J119" s="26" t="s">
        <v>33</v>
      </c>
    </row>
    <row r="120" ht="22.5" customHeight="1">
      <c r="A120" s="19">
        <v>46084.0</v>
      </c>
      <c r="B120" s="18">
        <v>46082.0</v>
      </c>
      <c r="C120" s="20">
        <v>9.0</v>
      </c>
      <c r="D120" s="21" t="s">
        <v>126</v>
      </c>
      <c r="E120" s="22" t="s">
        <v>143</v>
      </c>
      <c r="F120" s="24"/>
      <c r="G120" s="23">
        <v>18267.16</v>
      </c>
      <c r="H120" s="17">
        <v>1.822457229E7</v>
      </c>
      <c r="I120" s="25" t="s">
        <v>39</v>
      </c>
      <c r="J120" s="26" t="s">
        <v>33</v>
      </c>
    </row>
    <row r="121" ht="22.5" customHeight="1">
      <c r="A121" s="19">
        <v>46084.0</v>
      </c>
      <c r="B121" s="18">
        <v>46082.0</v>
      </c>
      <c r="C121" s="20">
        <v>21.0</v>
      </c>
      <c r="D121" s="21" t="s">
        <v>43</v>
      </c>
      <c r="E121" s="22" t="s">
        <v>144</v>
      </c>
      <c r="F121" s="23">
        <v>-15000.0</v>
      </c>
      <c r="G121" s="24"/>
      <c r="H121" s="17">
        <v>1.820957229E7</v>
      </c>
      <c r="I121" s="25" t="s">
        <v>39</v>
      </c>
      <c r="J121" s="26" t="s">
        <v>33</v>
      </c>
    </row>
    <row r="122" ht="22.5" customHeight="1">
      <c r="A122" s="33">
        <v>46084.0</v>
      </c>
      <c r="B122" s="34">
        <v>46106.0</v>
      </c>
      <c r="C122" s="35">
        <v>16.0</v>
      </c>
      <c r="D122" s="36" t="s">
        <v>16</v>
      </c>
      <c r="E122" s="35" t="s">
        <v>145</v>
      </c>
      <c r="F122" s="37">
        <v>-110000.0</v>
      </c>
      <c r="G122" s="38"/>
      <c r="H122" s="39"/>
      <c r="I122" s="40" t="s">
        <v>13</v>
      </c>
      <c r="J122" s="40" t="s">
        <v>14</v>
      </c>
      <c r="K122" s="41" t="s">
        <v>146</v>
      </c>
    </row>
    <row r="123" ht="22.5" customHeight="1">
      <c r="A123" s="33">
        <v>46084.0</v>
      </c>
      <c r="B123" s="34">
        <v>46106.0</v>
      </c>
      <c r="C123" s="35">
        <v>6.0</v>
      </c>
      <c r="D123" s="36" t="s">
        <v>20</v>
      </c>
      <c r="E123" s="35" t="s">
        <v>147</v>
      </c>
      <c r="F123" s="37"/>
      <c r="G123" s="37">
        <v>50000.0</v>
      </c>
      <c r="H123" s="39"/>
      <c r="I123" s="40" t="s">
        <v>13</v>
      </c>
      <c r="J123" s="40" t="s">
        <v>14</v>
      </c>
      <c r="K123" s="41"/>
    </row>
    <row r="124" ht="22.5" customHeight="1">
      <c r="A124" s="33">
        <v>46084.0</v>
      </c>
      <c r="B124" s="34">
        <v>46106.0</v>
      </c>
      <c r="C124" s="35">
        <v>5.0</v>
      </c>
      <c r="D124" s="36" t="s">
        <v>148</v>
      </c>
      <c r="E124" s="35" t="s">
        <v>149</v>
      </c>
      <c r="F124" s="37">
        <v>-380000.0</v>
      </c>
      <c r="G124" s="37"/>
      <c r="H124" s="39"/>
      <c r="I124" s="40" t="s">
        <v>13</v>
      </c>
      <c r="J124" s="40" t="s">
        <v>14</v>
      </c>
      <c r="K124" s="41"/>
    </row>
    <row r="125" ht="22.5" customHeight="1">
      <c r="A125" s="33">
        <v>46084.0</v>
      </c>
      <c r="B125" s="34">
        <v>46106.0</v>
      </c>
      <c r="C125" s="35">
        <v>21.0</v>
      </c>
      <c r="D125" s="36" t="s">
        <v>43</v>
      </c>
      <c r="E125" s="35" t="s">
        <v>150</v>
      </c>
      <c r="F125" s="37">
        <v>-200000.0</v>
      </c>
      <c r="G125" s="37"/>
      <c r="H125" s="39"/>
      <c r="I125" s="40" t="s">
        <v>13</v>
      </c>
      <c r="J125" s="40" t="s">
        <v>14</v>
      </c>
      <c r="K125" s="41" t="s">
        <v>151</v>
      </c>
    </row>
    <row r="126" ht="22.5" customHeight="1">
      <c r="A126" s="33">
        <v>46084.0</v>
      </c>
      <c r="B126" s="34">
        <v>46106.0</v>
      </c>
      <c r="C126" s="35">
        <v>6.0</v>
      </c>
      <c r="D126" s="36" t="s">
        <v>20</v>
      </c>
      <c r="E126" s="35" t="s">
        <v>152</v>
      </c>
      <c r="F126" s="37"/>
      <c r="G126" s="37">
        <v>30000.0</v>
      </c>
      <c r="H126" s="39"/>
      <c r="I126" s="40" t="s">
        <v>23</v>
      </c>
      <c r="J126" s="40" t="s">
        <v>153</v>
      </c>
      <c r="K126" s="41"/>
    </row>
    <row r="127" ht="22.5" customHeight="1">
      <c r="A127" s="33">
        <v>46084.0</v>
      </c>
      <c r="B127" s="34">
        <v>46106.0</v>
      </c>
      <c r="C127" s="35">
        <v>21.0</v>
      </c>
      <c r="D127" s="36" t="s">
        <v>43</v>
      </c>
      <c r="E127" s="35" t="s">
        <v>154</v>
      </c>
      <c r="F127" s="37">
        <v>-50000.0</v>
      </c>
      <c r="G127" s="37"/>
      <c r="H127" s="39"/>
      <c r="I127" s="40" t="s">
        <v>13</v>
      </c>
      <c r="J127" s="40" t="s">
        <v>14</v>
      </c>
      <c r="K127" s="41"/>
    </row>
    <row r="128" ht="22.5" customHeight="1">
      <c r="A128" s="33">
        <v>46084.0</v>
      </c>
      <c r="B128" s="34">
        <v>46106.0</v>
      </c>
      <c r="C128" s="35">
        <v>21.0</v>
      </c>
      <c r="D128" s="36" t="s">
        <v>43</v>
      </c>
      <c r="E128" s="35" t="s">
        <v>155</v>
      </c>
      <c r="F128" s="37">
        <v>-200000.0</v>
      </c>
      <c r="G128" s="37"/>
      <c r="H128" s="39"/>
      <c r="I128" s="40" t="s">
        <v>13</v>
      </c>
      <c r="J128" s="40" t="s">
        <v>14</v>
      </c>
      <c r="K128" s="41"/>
    </row>
  </sheetData>
  <dataValidations>
    <dataValidation type="list" allowBlank="1" showDropDown="1" showErrorMessage="1" sqref="J6:J7 J9:J16 J21:J42 J44:J66 J70:J103 J107:J128">
      <formula1>"TRANSFERENCIA,EFECTIVO"</formula1>
    </dataValidation>
    <dataValidation type="custom" allowBlank="1" showDropDown="1" sqref="F2:F128">
      <formula1>AND(ISNUMBER(F2),(NOT(OR(NOT(ISERROR(DATEVALUE(F2))), AND(ISNUMBER(F2), LEFT(CELL("format", F2))="D")))))</formula1>
    </dataValidation>
    <dataValidation type="list" allowBlank="1" showDropDown="1" showErrorMessage="1" sqref="I6:I7 I9:I16 I17:J20 I21:I42 I43:J43 I44:I66 I67:J69 I70:I103 I104:J106 I107:I128">
      <formula1>"NARANJA X,EFECTIVO,MUTUAL"</formula1>
    </dataValidation>
    <dataValidation type="custom" allowBlank="1" showDropDown="1" sqref="B2:B128">
      <formula1>OR(NOT(ISERROR(DATEVALUE(B2))), AND(ISNUMBER(B2), LEFT(CELL("format", B2))="D"))</formula1>
    </dataValidation>
    <dataValidation type="custom" allowBlank="1" showDropDown="1" sqref="G2:H128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38"/>
    <col customWidth="1" min="2" max="2" width="16.63"/>
    <col customWidth="1" min="3" max="3" width="17.25"/>
    <col customWidth="1" min="4" max="4" width="15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0"/>
    <col customWidth="1" min="4" max="4" width="37.63"/>
    <col customWidth="1" min="5" max="5" width="32.88"/>
    <col customWidth="1" min="6" max="6" width="16.0"/>
    <col customWidth="1" min="7" max="7" width="15.38"/>
    <col customWidth="1" min="8" max="8" width="17.75"/>
    <col customWidth="1" min="9" max="9" width="15.5"/>
    <col customWidth="1" min="10" max="10" width="19.63"/>
  </cols>
  <sheetData>
    <row r="1" ht="22.5" customHeight="1">
      <c r="A1" s="44" t="s">
        <v>0</v>
      </c>
      <c r="B1" s="44" t="s">
        <v>1</v>
      </c>
      <c r="C1" s="44" t="s">
        <v>159</v>
      </c>
      <c r="D1" s="44" t="s">
        <v>3</v>
      </c>
      <c r="E1" s="44" t="s">
        <v>160</v>
      </c>
      <c r="F1" s="44" t="s">
        <v>161</v>
      </c>
      <c r="G1" s="44" t="s">
        <v>162</v>
      </c>
      <c r="H1" s="44" t="s">
        <v>163</v>
      </c>
      <c r="I1" s="44" t="s">
        <v>164</v>
      </c>
      <c r="J1" s="44" t="s">
        <v>165</v>
      </c>
    </row>
    <row r="2" ht="22.5" customHeight="1">
      <c r="A2" s="19">
        <v>46084.0</v>
      </c>
      <c r="B2" s="45">
        <v>46025.0</v>
      </c>
      <c r="C2" s="20">
        <v>9.0</v>
      </c>
      <c r="D2" s="21" t="s">
        <v>126</v>
      </c>
      <c r="E2" s="22" t="s">
        <v>143</v>
      </c>
      <c r="F2" s="46"/>
      <c r="G2" s="47" t="s">
        <v>166</v>
      </c>
      <c r="H2" s="48" t="s">
        <v>167</v>
      </c>
      <c r="I2" s="25" t="s">
        <v>39</v>
      </c>
      <c r="J2" s="26" t="s">
        <v>33</v>
      </c>
    </row>
    <row r="3" ht="22.5" customHeight="1">
      <c r="A3" s="19">
        <v>46084.0</v>
      </c>
      <c r="B3" s="45">
        <v>46025.0</v>
      </c>
      <c r="C3" s="20">
        <v>21.0</v>
      </c>
      <c r="D3" s="21" t="s">
        <v>43</v>
      </c>
      <c r="E3" s="22" t="s">
        <v>144</v>
      </c>
      <c r="F3" s="47" t="s">
        <v>168</v>
      </c>
      <c r="G3" s="46"/>
      <c r="H3" s="48" t="s">
        <v>169</v>
      </c>
      <c r="I3" s="25" t="s">
        <v>39</v>
      </c>
      <c r="J3" s="26" t="s">
        <v>33</v>
      </c>
    </row>
    <row r="4" ht="22.5" customHeight="1">
      <c r="A4" s="19">
        <v>46084.0</v>
      </c>
      <c r="B4" s="45">
        <v>46084.0</v>
      </c>
      <c r="C4" s="20">
        <v>37.0</v>
      </c>
      <c r="D4" s="21" t="s">
        <v>11</v>
      </c>
      <c r="E4" s="22" t="s">
        <v>142</v>
      </c>
      <c r="F4" s="47" t="s">
        <v>170</v>
      </c>
      <c r="G4" s="46"/>
      <c r="H4" s="48" t="s">
        <v>171</v>
      </c>
      <c r="I4" s="25" t="s">
        <v>39</v>
      </c>
      <c r="J4" s="26" t="s">
        <v>33</v>
      </c>
    </row>
    <row r="5" ht="22.5" customHeight="1">
      <c r="A5" s="19">
        <v>46084.0</v>
      </c>
      <c r="B5" s="45">
        <v>46084.0</v>
      </c>
      <c r="C5" s="20">
        <v>16.0</v>
      </c>
      <c r="D5" s="21" t="s">
        <v>16</v>
      </c>
      <c r="E5" s="22" t="s">
        <v>17</v>
      </c>
      <c r="F5" s="47" t="s">
        <v>172</v>
      </c>
      <c r="G5" s="46"/>
      <c r="H5" s="48" t="s">
        <v>173</v>
      </c>
      <c r="I5" s="25" t="s">
        <v>39</v>
      </c>
      <c r="J5" s="26" t="s">
        <v>33</v>
      </c>
    </row>
    <row r="6" ht="22.5" customHeight="1">
      <c r="A6" s="19">
        <v>46084.0</v>
      </c>
      <c r="B6" s="45">
        <v>46115.0</v>
      </c>
      <c r="C6" s="20">
        <v>21.0</v>
      </c>
      <c r="D6" s="21" t="s">
        <v>43</v>
      </c>
      <c r="E6" s="22" t="s">
        <v>141</v>
      </c>
      <c r="F6" s="47" t="s">
        <v>174</v>
      </c>
      <c r="G6" s="46"/>
      <c r="H6" s="48" t="s">
        <v>175</v>
      </c>
      <c r="I6" s="25" t="s">
        <v>39</v>
      </c>
      <c r="J6" s="26" t="s">
        <v>33</v>
      </c>
    </row>
    <row r="7" ht="22.5" customHeight="1">
      <c r="A7" s="19">
        <v>46084.0</v>
      </c>
      <c r="B7" s="45">
        <v>46145.0</v>
      </c>
      <c r="C7" s="20">
        <v>21.0</v>
      </c>
      <c r="D7" s="21" t="s">
        <v>43</v>
      </c>
      <c r="E7" s="22" t="s">
        <v>139</v>
      </c>
      <c r="F7" s="47" t="s">
        <v>176</v>
      </c>
      <c r="G7" s="46"/>
      <c r="H7" s="48" t="s">
        <v>177</v>
      </c>
      <c r="I7" s="25" t="s">
        <v>39</v>
      </c>
      <c r="J7" s="26" t="s">
        <v>33</v>
      </c>
    </row>
    <row r="8" ht="22.5" customHeight="1">
      <c r="A8" s="19">
        <v>46084.0</v>
      </c>
      <c r="B8" s="45">
        <v>46145.0</v>
      </c>
      <c r="C8" s="20">
        <v>37.0</v>
      </c>
      <c r="D8" s="21" t="s">
        <v>11</v>
      </c>
      <c r="E8" s="22" t="s">
        <v>135</v>
      </c>
      <c r="F8" s="47" t="s">
        <v>178</v>
      </c>
      <c r="G8" s="46"/>
      <c r="H8" s="48" t="s">
        <v>179</v>
      </c>
      <c r="I8" s="25" t="s">
        <v>39</v>
      </c>
      <c r="J8" s="26" t="s">
        <v>33</v>
      </c>
    </row>
    <row r="9" ht="22.5" customHeight="1">
      <c r="A9" s="19">
        <v>46084.0</v>
      </c>
      <c r="B9" s="45">
        <v>46145.0</v>
      </c>
      <c r="C9" s="20">
        <v>21.0</v>
      </c>
      <c r="D9" s="21" t="s">
        <v>43</v>
      </c>
      <c r="E9" s="22" t="s">
        <v>140</v>
      </c>
      <c r="F9" s="47" t="s">
        <v>180</v>
      </c>
      <c r="G9" s="46"/>
      <c r="H9" s="48" t="s">
        <v>181</v>
      </c>
      <c r="I9" s="25" t="s">
        <v>39</v>
      </c>
      <c r="J9" s="26" t="s">
        <v>33</v>
      </c>
    </row>
    <row r="10" ht="22.5" customHeight="1">
      <c r="A10" s="19">
        <v>46084.0</v>
      </c>
      <c r="B10" s="45">
        <v>46176.0</v>
      </c>
      <c r="C10" s="20">
        <v>37.0</v>
      </c>
      <c r="D10" s="21" t="s">
        <v>11</v>
      </c>
      <c r="E10" s="22" t="s">
        <v>133</v>
      </c>
      <c r="F10" s="47" t="s">
        <v>182</v>
      </c>
      <c r="G10" s="46"/>
      <c r="H10" s="48" t="s">
        <v>183</v>
      </c>
      <c r="I10" s="25" t="s">
        <v>39</v>
      </c>
      <c r="J10" s="26" t="s">
        <v>33</v>
      </c>
    </row>
    <row r="11" ht="22.5" customHeight="1">
      <c r="A11" s="19">
        <v>46084.0</v>
      </c>
      <c r="B11" s="45">
        <v>46176.0</v>
      </c>
      <c r="C11" s="20">
        <v>35.0</v>
      </c>
      <c r="D11" s="21" t="s">
        <v>68</v>
      </c>
      <c r="E11" s="22" t="s">
        <v>134</v>
      </c>
      <c r="F11" s="46"/>
      <c r="G11" s="47" t="s">
        <v>184</v>
      </c>
      <c r="H11" s="48" t="s">
        <v>185</v>
      </c>
      <c r="I11" s="25" t="s">
        <v>39</v>
      </c>
      <c r="J11" s="26" t="s">
        <v>33</v>
      </c>
    </row>
    <row r="12" ht="22.5" customHeight="1">
      <c r="A12" s="19">
        <v>46084.0</v>
      </c>
      <c r="B12" s="45">
        <v>46176.0</v>
      </c>
      <c r="C12" s="20">
        <v>37.0</v>
      </c>
      <c r="D12" s="21" t="s">
        <v>11</v>
      </c>
      <c r="E12" s="22" t="s">
        <v>135</v>
      </c>
      <c r="F12" s="47" t="s">
        <v>186</v>
      </c>
      <c r="G12" s="46"/>
      <c r="H12" s="48" t="s">
        <v>187</v>
      </c>
      <c r="I12" s="25" t="s">
        <v>39</v>
      </c>
      <c r="J12" s="26" t="s">
        <v>33</v>
      </c>
    </row>
    <row r="13" ht="22.5" customHeight="1">
      <c r="A13" s="19">
        <v>46084.0</v>
      </c>
      <c r="B13" s="45">
        <v>46176.0</v>
      </c>
      <c r="C13" s="20">
        <v>37.0</v>
      </c>
      <c r="D13" s="21" t="s">
        <v>11</v>
      </c>
      <c r="E13" s="22" t="s">
        <v>136</v>
      </c>
      <c r="F13" s="47" t="s">
        <v>188</v>
      </c>
      <c r="G13" s="46"/>
      <c r="H13" s="48" t="s">
        <v>189</v>
      </c>
      <c r="I13" s="25" t="s">
        <v>39</v>
      </c>
      <c r="J13" s="26" t="s">
        <v>33</v>
      </c>
    </row>
    <row r="14" ht="22.5" customHeight="1">
      <c r="A14" s="19">
        <v>46084.0</v>
      </c>
      <c r="B14" s="45">
        <v>46176.0</v>
      </c>
      <c r="C14" s="20">
        <v>37.0</v>
      </c>
      <c r="D14" s="21" t="s">
        <v>11</v>
      </c>
      <c r="E14" s="22" t="s">
        <v>137</v>
      </c>
      <c r="F14" s="47" t="s">
        <v>190</v>
      </c>
      <c r="G14" s="46"/>
      <c r="H14" s="48" t="s">
        <v>191</v>
      </c>
      <c r="I14" s="25" t="s">
        <v>39</v>
      </c>
      <c r="J14" s="26" t="s">
        <v>33</v>
      </c>
    </row>
    <row r="15" ht="22.5" customHeight="1">
      <c r="A15" s="19">
        <v>46084.0</v>
      </c>
      <c r="B15" s="45">
        <v>46176.0</v>
      </c>
      <c r="C15" s="20">
        <v>18.0</v>
      </c>
      <c r="D15" s="21" t="s">
        <v>40</v>
      </c>
      <c r="E15" s="22" t="s">
        <v>53</v>
      </c>
      <c r="F15" s="47" t="s">
        <v>192</v>
      </c>
      <c r="G15" s="46"/>
      <c r="H15" s="48" t="s">
        <v>193</v>
      </c>
      <c r="I15" s="25" t="s">
        <v>24</v>
      </c>
      <c r="J15" s="26" t="s">
        <v>24</v>
      </c>
    </row>
    <row r="16" ht="22.5" customHeight="1">
      <c r="A16" s="19">
        <v>46084.0</v>
      </c>
      <c r="B16" s="45">
        <v>46176.0</v>
      </c>
      <c r="C16" s="20">
        <v>37.0</v>
      </c>
      <c r="D16" s="21" t="s">
        <v>11</v>
      </c>
      <c r="E16" s="22" t="s">
        <v>138</v>
      </c>
      <c r="F16" s="47" t="s">
        <v>194</v>
      </c>
      <c r="G16" s="46"/>
      <c r="H16" s="48" t="s">
        <v>195</v>
      </c>
      <c r="I16" s="25" t="s">
        <v>24</v>
      </c>
      <c r="J16" s="26" t="s">
        <v>24</v>
      </c>
    </row>
    <row r="17" ht="22.5" customHeight="1">
      <c r="A17" s="19">
        <v>46084.0</v>
      </c>
      <c r="B17" s="45">
        <v>46268.0</v>
      </c>
      <c r="C17" s="20">
        <v>18.0</v>
      </c>
      <c r="D17" s="21" t="s">
        <v>40</v>
      </c>
      <c r="E17" s="22" t="s">
        <v>53</v>
      </c>
      <c r="F17" s="47" t="s">
        <v>196</v>
      </c>
      <c r="G17" s="46"/>
      <c r="H17" s="48" t="s">
        <v>197</v>
      </c>
      <c r="I17" s="25" t="s">
        <v>39</v>
      </c>
      <c r="J17" s="26" t="s">
        <v>33</v>
      </c>
    </row>
    <row r="18" ht="22.5" customHeight="1">
      <c r="A18" s="19">
        <v>46084.0</v>
      </c>
      <c r="B18" s="45">
        <v>46268.0</v>
      </c>
      <c r="C18" s="20">
        <v>18.0</v>
      </c>
      <c r="D18" s="21" t="s">
        <v>40</v>
      </c>
      <c r="E18" s="22" t="s">
        <v>53</v>
      </c>
      <c r="F18" s="47" t="s">
        <v>196</v>
      </c>
      <c r="G18" s="46"/>
      <c r="H18" s="48" t="s">
        <v>198</v>
      </c>
      <c r="I18" s="25" t="s">
        <v>39</v>
      </c>
      <c r="J18" s="26" t="s">
        <v>33</v>
      </c>
    </row>
    <row r="19" ht="22.5" customHeight="1">
      <c r="A19" s="19">
        <v>46084.0</v>
      </c>
      <c r="B19" s="45">
        <v>46268.0</v>
      </c>
      <c r="C19" s="20">
        <v>37.0</v>
      </c>
      <c r="D19" s="21" t="s">
        <v>11</v>
      </c>
      <c r="E19" s="22" t="s">
        <v>128</v>
      </c>
      <c r="F19" s="47" t="s">
        <v>196</v>
      </c>
      <c r="G19" s="46"/>
      <c r="H19" s="48" t="s">
        <v>199</v>
      </c>
      <c r="I19" s="25" t="s">
        <v>39</v>
      </c>
      <c r="J19" s="26" t="s">
        <v>33</v>
      </c>
    </row>
    <row r="20" ht="22.5" customHeight="1">
      <c r="A20" s="19">
        <v>46084.0</v>
      </c>
      <c r="B20" s="45">
        <v>46268.0</v>
      </c>
      <c r="C20" s="20">
        <v>6.0</v>
      </c>
      <c r="D20" s="21" t="s">
        <v>20</v>
      </c>
      <c r="E20" s="22" t="s">
        <v>129</v>
      </c>
      <c r="F20" s="46"/>
      <c r="G20" s="47" t="s">
        <v>200</v>
      </c>
      <c r="H20" s="48" t="s">
        <v>201</v>
      </c>
      <c r="I20" s="25" t="s">
        <v>23</v>
      </c>
      <c r="J20" s="26" t="s">
        <v>24</v>
      </c>
    </row>
    <row r="21" ht="22.5" customHeight="1">
      <c r="A21" s="19">
        <v>46084.0</v>
      </c>
      <c r="B21" s="45">
        <v>46298.0</v>
      </c>
      <c r="C21" s="20">
        <v>21.0</v>
      </c>
      <c r="D21" s="21" t="s">
        <v>43</v>
      </c>
      <c r="E21" s="22" t="s">
        <v>121</v>
      </c>
      <c r="F21" s="47" t="s">
        <v>202</v>
      </c>
      <c r="G21" s="46"/>
      <c r="H21" s="48" t="s">
        <v>203</v>
      </c>
      <c r="I21" s="25" t="s">
        <v>39</v>
      </c>
      <c r="J21" s="26" t="s">
        <v>33</v>
      </c>
    </row>
    <row r="22" ht="22.5" customHeight="1">
      <c r="A22" s="19">
        <v>46084.0</v>
      </c>
      <c r="B22" s="45">
        <v>46298.0</v>
      </c>
      <c r="C22" s="20">
        <v>21.0</v>
      </c>
      <c r="D22" s="21" t="s">
        <v>43</v>
      </c>
      <c r="E22" s="22" t="s">
        <v>122</v>
      </c>
      <c r="F22" s="47" t="s">
        <v>202</v>
      </c>
      <c r="G22" s="46"/>
      <c r="H22" s="48" t="s">
        <v>204</v>
      </c>
      <c r="I22" s="25" t="s">
        <v>39</v>
      </c>
      <c r="J22" s="26" t="s">
        <v>33</v>
      </c>
    </row>
    <row r="23" ht="22.5" customHeight="1">
      <c r="A23" s="19">
        <v>46084.0</v>
      </c>
      <c r="B23" s="45">
        <v>46298.0</v>
      </c>
      <c r="C23" s="20">
        <v>21.0</v>
      </c>
      <c r="D23" s="21" t="s">
        <v>43</v>
      </c>
      <c r="E23" s="22" t="s">
        <v>123</v>
      </c>
      <c r="F23" s="47" t="s">
        <v>168</v>
      </c>
      <c r="G23" s="46"/>
      <c r="H23" s="48" t="s">
        <v>205</v>
      </c>
      <c r="I23" s="25" t="s">
        <v>39</v>
      </c>
      <c r="J23" s="26" t="s">
        <v>33</v>
      </c>
    </row>
    <row r="24" ht="22.5" customHeight="1">
      <c r="A24" s="19">
        <v>46084.0</v>
      </c>
      <c r="B24" s="45">
        <v>46298.0</v>
      </c>
      <c r="C24" s="20">
        <v>49.0</v>
      </c>
      <c r="D24" s="21" t="s">
        <v>124</v>
      </c>
      <c r="E24" s="22" t="s">
        <v>125</v>
      </c>
      <c r="F24" s="47" t="s">
        <v>206</v>
      </c>
      <c r="G24" s="47" t="s">
        <v>207</v>
      </c>
      <c r="H24" s="48" t="s">
        <v>205</v>
      </c>
      <c r="I24" s="25" t="s">
        <v>23</v>
      </c>
      <c r="J24" s="26" t="s">
        <v>33</v>
      </c>
    </row>
    <row r="25" ht="22.5" customHeight="1">
      <c r="A25" s="19">
        <v>46084.0</v>
      </c>
      <c r="B25" s="45">
        <v>46298.0</v>
      </c>
      <c r="C25" s="20">
        <v>9.0</v>
      </c>
      <c r="D25" s="21" t="s">
        <v>126</v>
      </c>
      <c r="E25" s="22" t="s">
        <v>127</v>
      </c>
      <c r="F25" s="46"/>
      <c r="G25" s="47" t="s">
        <v>208</v>
      </c>
      <c r="H25" s="48" t="s">
        <v>209</v>
      </c>
      <c r="I25" s="25" t="s">
        <v>39</v>
      </c>
      <c r="J25" s="26" t="s">
        <v>33</v>
      </c>
    </row>
    <row r="26" ht="22.5" customHeight="1">
      <c r="A26" s="19">
        <v>46084.0</v>
      </c>
      <c r="B26" s="45">
        <v>46298.0</v>
      </c>
      <c r="C26" s="20">
        <v>16.0</v>
      </c>
      <c r="D26" s="21" t="s">
        <v>16</v>
      </c>
      <c r="E26" s="22" t="s">
        <v>17</v>
      </c>
      <c r="F26" s="47" t="s">
        <v>210</v>
      </c>
      <c r="G26" s="46"/>
      <c r="H26" s="48" t="s">
        <v>211</v>
      </c>
      <c r="I26" s="25" t="s">
        <v>39</v>
      </c>
      <c r="J26" s="26" t="s">
        <v>33</v>
      </c>
    </row>
    <row r="27" ht="22.5" customHeight="1">
      <c r="A27" s="19">
        <v>46084.0</v>
      </c>
      <c r="B27" s="45">
        <v>46329.0</v>
      </c>
      <c r="C27" s="20">
        <v>1.0</v>
      </c>
      <c r="D27" s="21" t="s">
        <v>91</v>
      </c>
      <c r="E27" s="22" t="s">
        <v>116</v>
      </c>
      <c r="F27" s="47" t="s">
        <v>212</v>
      </c>
      <c r="G27" s="46"/>
      <c r="H27" s="48" t="s">
        <v>213</v>
      </c>
      <c r="I27" s="25" t="s">
        <v>39</v>
      </c>
      <c r="J27" s="26" t="s">
        <v>33</v>
      </c>
    </row>
    <row r="28" ht="22.5" customHeight="1">
      <c r="A28" s="19">
        <v>46084.0</v>
      </c>
      <c r="B28" s="45">
        <v>46329.0</v>
      </c>
      <c r="C28" s="20">
        <v>4.0</v>
      </c>
      <c r="D28" s="21" t="s">
        <v>117</v>
      </c>
      <c r="E28" s="22" t="s">
        <v>116</v>
      </c>
      <c r="F28" s="47" t="s">
        <v>214</v>
      </c>
      <c r="G28" s="46"/>
      <c r="H28" s="48" t="s">
        <v>215</v>
      </c>
      <c r="I28" s="25" t="s">
        <v>39</v>
      </c>
      <c r="J28" s="26" t="s">
        <v>33</v>
      </c>
    </row>
    <row r="29" ht="22.5" customHeight="1">
      <c r="A29" s="19">
        <v>46084.0</v>
      </c>
      <c r="B29" s="45">
        <v>46329.0</v>
      </c>
      <c r="C29" s="20">
        <v>21.0</v>
      </c>
      <c r="D29" s="21" t="s">
        <v>43</v>
      </c>
      <c r="E29" s="22" t="s">
        <v>118</v>
      </c>
      <c r="F29" s="47" t="s">
        <v>216</v>
      </c>
      <c r="G29" s="46"/>
      <c r="H29" s="48" t="s">
        <v>217</v>
      </c>
      <c r="I29" s="25" t="s">
        <v>39</v>
      </c>
      <c r="J29" s="26" t="s">
        <v>33</v>
      </c>
    </row>
    <row r="30" ht="22.5" customHeight="1">
      <c r="A30" s="19">
        <v>46084.0</v>
      </c>
      <c r="B30" s="45">
        <v>46329.0</v>
      </c>
      <c r="C30" s="20">
        <v>35.0</v>
      </c>
      <c r="D30" s="21" t="s">
        <v>68</v>
      </c>
      <c r="E30" s="22" t="s">
        <v>119</v>
      </c>
      <c r="F30" s="47" t="s">
        <v>218</v>
      </c>
      <c r="G30" s="46"/>
      <c r="H30" s="48" t="s">
        <v>219</v>
      </c>
      <c r="I30" s="25" t="s">
        <v>39</v>
      </c>
      <c r="J30" s="26" t="s">
        <v>33</v>
      </c>
    </row>
    <row r="31" ht="22.5" customHeight="1">
      <c r="A31" s="19">
        <v>46084.0</v>
      </c>
      <c r="B31" s="45">
        <v>46329.0</v>
      </c>
      <c r="C31" s="20">
        <v>21.0</v>
      </c>
      <c r="D31" s="21" t="s">
        <v>43</v>
      </c>
      <c r="E31" s="22" t="s">
        <v>118</v>
      </c>
      <c r="F31" s="47" t="s">
        <v>216</v>
      </c>
      <c r="G31" s="46"/>
      <c r="H31" s="48" t="s">
        <v>220</v>
      </c>
      <c r="I31" s="25" t="s">
        <v>39</v>
      </c>
      <c r="J31" s="26" t="s">
        <v>33</v>
      </c>
    </row>
    <row r="32" ht="22.5" customHeight="1">
      <c r="A32" s="19">
        <v>46084.0</v>
      </c>
      <c r="B32" s="45">
        <v>46329.0</v>
      </c>
      <c r="C32" s="20">
        <v>6.0</v>
      </c>
      <c r="D32" s="21" t="s">
        <v>20</v>
      </c>
      <c r="E32" s="22" t="s">
        <v>120</v>
      </c>
      <c r="F32" s="46"/>
      <c r="G32" s="47" t="s">
        <v>184</v>
      </c>
      <c r="H32" s="48" t="s">
        <v>221</v>
      </c>
      <c r="I32" s="25" t="s">
        <v>39</v>
      </c>
      <c r="J32" s="26" t="s">
        <v>33</v>
      </c>
    </row>
    <row r="33" ht="22.5" customHeight="1">
      <c r="A33" s="19">
        <v>46084.0</v>
      </c>
      <c r="B33" s="45">
        <v>46359.0</v>
      </c>
      <c r="C33" s="20">
        <v>26.0</v>
      </c>
      <c r="D33" s="21" t="s">
        <v>111</v>
      </c>
      <c r="E33" s="22" t="s">
        <v>112</v>
      </c>
      <c r="F33" s="47" t="s">
        <v>222</v>
      </c>
      <c r="G33" s="46"/>
      <c r="H33" s="48" t="s">
        <v>223</v>
      </c>
      <c r="I33" s="25" t="s">
        <v>39</v>
      </c>
      <c r="J33" s="26" t="s">
        <v>33</v>
      </c>
    </row>
    <row r="34" ht="22.5" customHeight="1">
      <c r="A34" s="19">
        <v>46084.0</v>
      </c>
      <c r="B34" s="45">
        <v>46359.0</v>
      </c>
      <c r="C34" s="20">
        <v>6.0</v>
      </c>
      <c r="D34" s="21" t="s">
        <v>20</v>
      </c>
      <c r="E34" s="22" t="s">
        <v>113</v>
      </c>
      <c r="F34" s="46"/>
      <c r="G34" s="47" t="s">
        <v>224</v>
      </c>
      <c r="H34" s="48" t="s">
        <v>225</v>
      </c>
      <c r="I34" s="25" t="s">
        <v>23</v>
      </c>
      <c r="J34" s="26" t="s">
        <v>24</v>
      </c>
    </row>
    <row r="35" ht="22.5" customHeight="1">
      <c r="A35" s="19">
        <v>46084.0</v>
      </c>
      <c r="B35" s="45">
        <v>46359.0</v>
      </c>
      <c r="C35" s="20">
        <v>16.0</v>
      </c>
      <c r="D35" s="21" t="s">
        <v>16</v>
      </c>
      <c r="E35" s="22" t="s">
        <v>114</v>
      </c>
      <c r="F35" s="47" t="s">
        <v>226</v>
      </c>
      <c r="G35" s="46"/>
      <c r="H35" s="48" t="s">
        <v>227</v>
      </c>
      <c r="I35" s="25" t="s">
        <v>24</v>
      </c>
      <c r="J35" s="26" t="s">
        <v>24</v>
      </c>
    </row>
    <row r="36" ht="22.5" customHeight="1">
      <c r="A36" s="19">
        <v>46084.0</v>
      </c>
      <c r="B36" s="45">
        <v>46359.0</v>
      </c>
      <c r="C36" s="20">
        <v>16.0</v>
      </c>
      <c r="D36" s="21" t="s">
        <v>16</v>
      </c>
      <c r="E36" s="22" t="s">
        <v>115</v>
      </c>
      <c r="F36" s="46"/>
      <c r="G36" s="47" t="s">
        <v>228</v>
      </c>
      <c r="H36" s="48" t="s">
        <v>229</v>
      </c>
      <c r="I36" s="25" t="s">
        <v>23</v>
      </c>
      <c r="J36" s="26" t="s">
        <v>24</v>
      </c>
    </row>
    <row r="37" ht="22.5" customHeight="1">
      <c r="A37" s="19">
        <v>46084.0</v>
      </c>
      <c r="B37" s="49" t="s">
        <v>230</v>
      </c>
      <c r="C37" s="20">
        <v>16.0</v>
      </c>
      <c r="D37" s="21" t="s">
        <v>16</v>
      </c>
      <c r="E37" s="22" t="s">
        <v>17</v>
      </c>
      <c r="F37" s="47" t="s">
        <v>210</v>
      </c>
      <c r="G37" s="46"/>
      <c r="H37" s="48" t="s">
        <v>231</v>
      </c>
      <c r="I37" s="25" t="s">
        <v>39</v>
      </c>
      <c r="J37" s="26" t="s">
        <v>33</v>
      </c>
    </row>
    <row r="38" ht="22.5" customHeight="1">
      <c r="A38" s="19">
        <v>46084.0</v>
      </c>
      <c r="B38" s="49" t="s">
        <v>230</v>
      </c>
      <c r="C38" s="20">
        <v>35.0</v>
      </c>
      <c r="D38" s="21" t="s">
        <v>68</v>
      </c>
      <c r="E38" s="22" t="s">
        <v>96</v>
      </c>
      <c r="F38" s="47" t="s">
        <v>232</v>
      </c>
      <c r="G38" s="46"/>
      <c r="H38" s="48" t="s">
        <v>233</v>
      </c>
      <c r="I38" s="25" t="s">
        <v>39</v>
      </c>
      <c r="J38" s="26" t="s">
        <v>33</v>
      </c>
    </row>
    <row r="39" ht="22.5" customHeight="1">
      <c r="A39" s="19">
        <v>46084.0</v>
      </c>
      <c r="B39" s="49" t="s">
        <v>230</v>
      </c>
      <c r="C39" s="20">
        <v>11.0</v>
      </c>
      <c r="D39" s="21" t="s">
        <v>97</v>
      </c>
      <c r="E39" s="22" t="s">
        <v>98</v>
      </c>
      <c r="F39" s="47" t="s">
        <v>234</v>
      </c>
      <c r="G39" s="46"/>
      <c r="H39" s="48" t="s">
        <v>235</v>
      </c>
      <c r="I39" s="25" t="s">
        <v>39</v>
      </c>
      <c r="J39" s="26" t="s">
        <v>33</v>
      </c>
    </row>
    <row r="40" ht="22.5" customHeight="1">
      <c r="A40" s="19">
        <v>46084.0</v>
      </c>
      <c r="B40" s="49" t="s">
        <v>230</v>
      </c>
      <c r="C40" s="20">
        <v>10.0</v>
      </c>
      <c r="D40" s="21" t="s">
        <v>99</v>
      </c>
      <c r="E40" s="22" t="s">
        <v>100</v>
      </c>
      <c r="F40" s="47" t="s">
        <v>236</v>
      </c>
      <c r="G40" s="46"/>
      <c r="H40" s="48" t="s">
        <v>237</v>
      </c>
      <c r="I40" s="25" t="s">
        <v>39</v>
      </c>
      <c r="J40" s="26" t="s">
        <v>33</v>
      </c>
    </row>
    <row r="41" ht="22.5" customHeight="1">
      <c r="A41" s="19">
        <v>46084.0</v>
      </c>
      <c r="B41" s="49" t="s">
        <v>230</v>
      </c>
      <c r="C41" s="20">
        <v>23.0</v>
      </c>
      <c r="D41" s="21" t="s">
        <v>72</v>
      </c>
      <c r="E41" s="22" t="s">
        <v>101</v>
      </c>
      <c r="F41" s="47" t="s">
        <v>238</v>
      </c>
      <c r="G41" s="46"/>
      <c r="H41" s="48" t="s">
        <v>239</v>
      </c>
      <c r="I41" s="25" t="s">
        <v>39</v>
      </c>
      <c r="J41" s="26" t="s">
        <v>33</v>
      </c>
    </row>
    <row r="42" ht="22.5" customHeight="1">
      <c r="A42" s="19">
        <v>46084.0</v>
      </c>
      <c r="B42" s="49" t="s">
        <v>230</v>
      </c>
      <c r="C42" s="20">
        <v>6.0</v>
      </c>
      <c r="D42" s="21" t="s">
        <v>20</v>
      </c>
      <c r="E42" s="22" t="s">
        <v>102</v>
      </c>
      <c r="F42" s="46"/>
      <c r="G42" s="47" t="s">
        <v>240</v>
      </c>
      <c r="H42" s="48" t="s">
        <v>241</v>
      </c>
      <c r="I42" s="25" t="s">
        <v>24</v>
      </c>
      <c r="J42" s="26" t="s">
        <v>24</v>
      </c>
    </row>
    <row r="43" ht="22.5" customHeight="1">
      <c r="A43" s="19">
        <v>46084.0</v>
      </c>
      <c r="B43" s="49" t="s">
        <v>230</v>
      </c>
      <c r="C43" s="20">
        <v>6.0</v>
      </c>
      <c r="D43" s="21" t="s">
        <v>20</v>
      </c>
      <c r="E43" s="22" t="s">
        <v>103</v>
      </c>
      <c r="F43" s="47" t="s">
        <v>242</v>
      </c>
      <c r="G43" s="47" t="s">
        <v>243</v>
      </c>
      <c r="H43" s="48" t="s">
        <v>244</v>
      </c>
      <c r="I43" s="25" t="s">
        <v>24</v>
      </c>
      <c r="J43" s="26" t="s">
        <v>24</v>
      </c>
    </row>
    <row r="44" ht="22.5" customHeight="1">
      <c r="A44" s="19">
        <v>46084.0</v>
      </c>
      <c r="B44" s="49" t="s">
        <v>230</v>
      </c>
      <c r="C44" s="20">
        <v>7.0</v>
      </c>
      <c r="D44" s="21" t="s">
        <v>58</v>
      </c>
      <c r="E44" s="22" t="s">
        <v>104</v>
      </c>
      <c r="F44" s="47" t="s">
        <v>245</v>
      </c>
      <c r="G44" s="47" t="s">
        <v>246</v>
      </c>
      <c r="H44" s="48" t="s">
        <v>247</v>
      </c>
      <c r="I44" s="25" t="s">
        <v>39</v>
      </c>
      <c r="J44" s="26" t="s">
        <v>33</v>
      </c>
    </row>
    <row r="45" ht="22.5" customHeight="1">
      <c r="A45" s="19">
        <v>46084.0</v>
      </c>
      <c r="B45" s="49" t="s">
        <v>230</v>
      </c>
      <c r="C45" s="20">
        <v>7.0</v>
      </c>
      <c r="D45" s="21" t="s">
        <v>58</v>
      </c>
      <c r="E45" s="22" t="s">
        <v>105</v>
      </c>
      <c r="F45" s="47" t="s">
        <v>248</v>
      </c>
      <c r="G45" s="47" t="s">
        <v>249</v>
      </c>
      <c r="H45" s="48" t="s">
        <v>250</v>
      </c>
      <c r="I45" s="25" t="s">
        <v>39</v>
      </c>
      <c r="J45" s="26" t="s">
        <v>33</v>
      </c>
    </row>
    <row r="46" ht="22.5" customHeight="1">
      <c r="A46" s="19">
        <v>46084.0</v>
      </c>
      <c r="B46" s="49" t="s">
        <v>230</v>
      </c>
      <c r="C46" s="20">
        <v>35.0</v>
      </c>
      <c r="D46" s="21" t="s">
        <v>68</v>
      </c>
      <c r="E46" s="22" t="s">
        <v>106</v>
      </c>
      <c r="F46" s="46"/>
      <c r="G46" s="47" t="s">
        <v>251</v>
      </c>
      <c r="H46" s="48" t="s">
        <v>252</v>
      </c>
      <c r="I46" s="25" t="s">
        <v>39</v>
      </c>
      <c r="J46" s="26" t="s">
        <v>33</v>
      </c>
    </row>
    <row r="47" ht="22.5" customHeight="1">
      <c r="A47" s="19">
        <v>46084.0</v>
      </c>
      <c r="B47" s="49" t="s">
        <v>230</v>
      </c>
      <c r="C47" s="20">
        <v>35.0</v>
      </c>
      <c r="D47" s="21" t="s">
        <v>68</v>
      </c>
      <c r="E47" s="22" t="s">
        <v>107</v>
      </c>
      <c r="F47" s="47" t="s">
        <v>253</v>
      </c>
      <c r="G47" s="47" t="s">
        <v>254</v>
      </c>
      <c r="H47" s="48" t="s">
        <v>255</v>
      </c>
      <c r="I47" s="25" t="s">
        <v>39</v>
      </c>
      <c r="J47" s="26" t="s">
        <v>33</v>
      </c>
    </row>
    <row r="48" ht="22.5" customHeight="1">
      <c r="A48" s="19">
        <v>46084.0</v>
      </c>
      <c r="B48" s="49" t="s">
        <v>230</v>
      </c>
      <c r="C48" s="20">
        <v>7.0</v>
      </c>
      <c r="D48" s="21" t="s">
        <v>58</v>
      </c>
      <c r="E48" s="22" t="s">
        <v>108</v>
      </c>
      <c r="F48" s="47" t="s">
        <v>256</v>
      </c>
      <c r="G48" s="47" t="s">
        <v>257</v>
      </c>
      <c r="H48" s="48" t="s">
        <v>258</v>
      </c>
      <c r="I48" s="25" t="s">
        <v>39</v>
      </c>
      <c r="J48" s="26" t="s">
        <v>33</v>
      </c>
    </row>
    <row r="49" ht="22.5" customHeight="1">
      <c r="A49" s="19">
        <v>46084.0</v>
      </c>
      <c r="B49" s="49" t="s">
        <v>230</v>
      </c>
      <c r="C49" s="20">
        <v>6.0</v>
      </c>
      <c r="D49" s="21" t="s">
        <v>20</v>
      </c>
      <c r="E49" s="22" t="s">
        <v>109</v>
      </c>
      <c r="F49" s="46"/>
      <c r="G49" s="47" t="s">
        <v>243</v>
      </c>
      <c r="H49" s="48" t="s">
        <v>259</v>
      </c>
      <c r="I49" s="25" t="s">
        <v>24</v>
      </c>
      <c r="J49" s="26" t="s">
        <v>24</v>
      </c>
    </row>
    <row r="50" ht="22.5" customHeight="1">
      <c r="A50" s="19">
        <v>46084.0</v>
      </c>
      <c r="B50" s="49" t="s">
        <v>230</v>
      </c>
      <c r="C50" s="20">
        <v>6.0</v>
      </c>
      <c r="D50" s="21" t="s">
        <v>20</v>
      </c>
      <c r="E50" s="22" t="s">
        <v>110</v>
      </c>
      <c r="F50" s="46"/>
      <c r="G50" s="47" t="s">
        <v>260</v>
      </c>
      <c r="H50" s="48" t="s">
        <v>261</v>
      </c>
      <c r="I50" s="25" t="s">
        <v>24</v>
      </c>
      <c r="J50" s="26" t="s">
        <v>24</v>
      </c>
    </row>
    <row r="51" ht="22.5" customHeight="1">
      <c r="A51" s="19">
        <v>46084.0</v>
      </c>
      <c r="B51" s="49" t="s">
        <v>262</v>
      </c>
      <c r="C51" s="20">
        <v>37.0</v>
      </c>
      <c r="D51" s="21" t="s">
        <v>11</v>
      </c>
      <c r="E51" s="22" t="s">
        <v>79</v>
      </c>
      <c r="F51" s="47" t="s">
        <v>253</v>
      </c>
      <c r="G51" s="46"/>
      <c r="H51" s="48" t="s">
        <v>263</v>
      </c>
      <c r="I51" s="25" t="s">
        <v>39</v>
      </c>
      <c r="J51" s="26" t="s">
        <v>33</v>
      </c>
    </row>
    <row r="52" ht="22.5" customHeight="1">
      <c r="A52" s="19">
        <v>46084.0</v>
      </c>
      <c r="B52" s="49" t="s">
        <v>264</v>
      </c>
      <c r="C52" s="20">
        <v>37.0</v>
      </c>
      <c r="D52" s="21" t="s">
        <v>11</v>
      </c>
      <c r="E52" s="22" t="s">
        <v>79</v>
      </c>
      <c r="F52" s="47" t="s">
        <v>170</v>
      </c>
      <c r="G52" s="46"/>
      <c r="H52" s="48" t="s">
        <v>265</v>
      </c>
      <c r="I52" s="25" t="s">
        <v>39</v>
      </c>
      <c r="J52" s="26" t="s">
        <v>33</v>
      </c>
    </row>
    <row r="53" ht="22.5" customHeight="1">
      <c r="A53" s="19">
        <v>46084.0</v>
      </c>
      <c r="B53" s="49" t="s">
        <v>264</v>
      </c>
      <c r="C53" s="20">
        <v>1.0</v>
      </c>
      <c r="D53" s="21" t="s">
        <v>91</v>
      </c>
      <c r="E53" s="22" t="s">
        <v>92</v>
      </c>
      <c r="F53" s="46"/>
      <c r="G53" s="47" t="s">
        <v>266</v>
      </c>
      <c r="H53" s="48" t="s">
        <v>267</v>
      </c>
      <c r="I53" s="25" t="s">
        <v>24</v>
      </c>
      <c r="J53" s="26" t="s">
        <v>24</v>
      </c>
    </row>
    <row r="54" ht="22.5" customHeight="1">
      <c r="A54" s="19">
        <v>46084.0</v>
      </c>
      <c r="B54" s="49" t="s">
        <v>264</v>
      </c>
      <c r="C54" s="20">
        <v>1.0</v>
      </c>
      <c r="D54" s="21" t="s">
        <v>91</v>
      </c>
      <c r="E54" s="22" t="s">
        <v>92</v>
      </c>
      <c r="F54" s="46"/>
      <c r="G54" s="47" t="s">
        <v>268</v>
      </c>
      <c r="H54" s="48" t="s">
        <v>269</v>
      </c>
      <c r="I54" s="25" t="s">
        <v>39</v>
      </c>
      <c r="J54" s="26" t="s">
        <v>33</v>
      </c>
    </row>
    <row r="55" ht="22.5" customHeight="1">
      <c r="A55" s="19">
        <v>46084.0</v>
      </c>
      <c r="B55" s="49" t="s">
        <v>264</v>
      </c>
      <c r="C55" s="20">
        <v>16.0</v>
      </c>
      <c r="D55" s="21" t="s">
        <v>16</v>
      </c>
      <c r="E55" s="22" t="s">
        <v>17</v>
      </c>
      <c r="F55" s="47" t="s">
        <v>172</v>
      </c>
      <c r="G55" s="46"/>
      <c r="H55" s="48" t="s">
        <v>270</v>
      </c>
      <c r="I55" s="25" t="s">
        <v>39</v>
      </c>
      <c r="J55" s="26" t="s">
        <v>33</v>
      </c>
    </row>
    <row r="56" ht="22.5" customHeight="1">
      <c r="A56" s="19">
        <v>46084.0</v>
      </c>
      <c r="B56" s="49" t="s">
        <v>271</v>
      </c>
      <c r="C56" s="20">
        <v>23.0</v>
      </c>
      <c r="D56" s="21" t="s">
        <v>72</v>
      </c>
      <c r="E56" s="22" t="s">
        <v>73</v>
      </c>
      <c r="F56" s="47" t="s">
        <v>272</v>
      </c>
      <c r="G56" s="46"/>
      <c r="H56" s="48" t="s">
        <v>273</v>
      </c>
      <c r="I56" s="25" t="s">
        <v>23</v>
      </c>
      <c r="J56" s="26" t="s">
        <v>33</v>
      </c>
    </row>
    <row r="57" ht="22.5" customHeight="1">
      <c r="A57" s="19">
        <v>46084.0</v>
      </c>
      <c r="B57" s="49" t="s">
        <v>271</v>
      </c>
      <c r="C57" s="20">
        <v>23.0</v>
      </c>
      <c r="D57" s="21" t="s">
        <v>72</v>
      </c>
      <c r="E57" s="22" t="s">
        <v>74</v>
      </c>
      <c r="F57" s="47" t="s">
        <v>274</v>
      </c>
      <c r="G57" s="46"/>
      <c r="H57" s="48" t="s">
        <v>275</v>
      </c>
      <c r="I57" s="25" t="s">
        <v>23</v>
      </c>
      <c r="J57" s="26" t="s">
        <v>33</v>
      </c>
    </row>
    <row r="58" ht="22.5" customHeight="1">
      <c r="A58" s="19">
        <v>46084.0</v>
      </c>
      <c r="B58" s="49" t="s">
        <v>271</v>
      </c>
      <c r="C58" s="20">
        <v>14.0</v>
      </c>
      <c r="D58" s="21" t="s">
        <v>75</v>
      </c>
      <c r="E58" s="22" t="s">
        <v>76</v>
      </c>
      <c r="F58" s="47" t="s">
        <v>276</v>
      </c>
      <c r="G58" s="46"/>
      <c r="H58" s="48" t="s">
        <v>277</v>
      </c>
      <c r="I58" s="25" t="s">
        <v>24</v>
      </c>
      <c r="J58" s="26" t="s">
        <v>24</v>
      </c>
    </row>
    <row r="59" ht="22.5" customHeight="1">
      <c r="A59" s="19">
        <v>46084.0</v>
      </c>
      <c r="B59" s="49" t="s">
        <v>271</v>
      </c>
      <c r="C59" s="20">
        <v>36.0</v>
      </c>
      <c r="D59" s="21" t="s">
        <v>77</v>
      </c>
      <c r="E59" s="22" t="s">
        <v>78</v>
      </c>
      <c r="F59" s="47" t="s">
        <v>278</v>
      </c>
      <c r="G59" s="46"/>
      <c r="H59" s="48" t="s">
        <v>279</v>
      </c>
      <c r="I59" s="25" t="s">
        <v>24</v>
      </c>
      <c r="J59" s="26" t="s">
        <v>24</v>
      </c>
    </row>
    <row r="60" ht="22.5" customHeight="1">
      <c r="A60" s="19">
        <v>46084.0</v>
      </c>
      <c r="B60" s="49" t="s">
        <v>280</v>
      </c>
      <c r="C60" s="20">
        <v>21.0</v>
      </c>
      <c r="D60" s="21" t="s">
        <v>43</v>
      </c>
      <c r="E60" s="22" t="s">
        <v>89</v>
      </c>
      <c r="F60" s="47" t="s">
        <v>281</v>
      </c>
      <c r="G60" s="46"/>
      <c r="H60" s="48" t="s">
        <v>282</v>
      </c>
      <c r="I60" s="25" t="s">
        <v>39</v>
      </c>
      <c r="J60" s="26" t="s">
        <v>33</v>
      </c>
    </row>
    <row r="61" ht="22.5" customHeight="1">
      <c r="A61" s="19">
        <v>46084.0</v>
      </c>
      <c r="B61" s="49" t="s">
        <v>280</v>
      </c>
      <c r="C61" s="20">
        <v>35.0</v>
      </c>
      <c r="D61" s="21" t="s">
        <v>68</v>
      </c>
      <c r="E61" s="22" t="s">
        <v>90</v>
      </c>
      <c r="F61" s="47" t="s">
        <v>283</v>
      </c>
      <c r="G61" s="46"/>
      <c r="H61" s="48" t="s">
        <v>284</v>
      </c>
      <c r="I61" s="25" t="s">
        <v>39</v>
      </c>
      <c r="J61" s="26" t="s">
        <v>33</v>
      </c>
    </row>
    <row r="62" ht="22.5" customHeight="1">
      <c r="A62" s="19">
        <v>46084.0</v>
      </c>
      <c r="B62" s="49" t="s">
        <v>285</v>
      </c>
      <c r="C62" s="20">
        <v>7.0</v>
      </c>
      <c r="D62" s="21" t="s">
        <v>58</v>
      </c>
      <c r="E62" s="22" t="s">
        <v>81</v>
      </c>
      <c r="F62" s="46"/>
      <c r="G62" s="47" t="s">
        <v>286</v>
      </c>
      <c r="H62" s="48" t="s">
        <v>287</v>
      </c>
      <c r="I62" s="25" t="s">
        <v>39</v>
      </c>
      <c r="J62" s="26" t="s">
        <v>33</v>
      </c>
    </row>
    <row r="63" ht="22.5" customHeight="1">
      <c r="A63" s="19">
        <v>46084.0</v>
      </c>
      <c r="B63" s="49" t="s">
        <v>285</v>
      </c>
      <c r="C63" s="20">
        <v>7.0</v>
      </c>
      <c r="D63" s="21" t="s">
        <v>58</v>
      </c>
      <c r="E63" s="22" t="s">
        <v>81</v>
      </c>
      <c r="F63" s="46"/>
      <c r="G63" s="47" t="s">
        <v>288</v>
      </c>
      <c r="H63" s="48" t="s">
        <v>289</v>
      </c>
      <c r="I63" s="25" t="s">
        <v>24</v>
      </c>
      <c r="J63" s="26" t="s">
        <v>24</v>
      </c>
    </row>
    <row r="64" ht="22.5" customHeight="1">
      <c r="A64" s="19">
        <v>46084.0</v>
      </c>
      <c r="B64" s="49" t="s">
        <v>285</v>
      </c>
      <c r="C64" s="20">
        <v>17.0</v>
      </c>
      <c r="D64" s="21" t="s">
        <v>82</v>
      </c>
      <c r="E64" s="22" t="s">
        <v>83</v>
      </c>
      <c r="F64" s="47" t="s">
        <v>290</v>
      </c>
      <c r="G64" s="46"/>
      <c r="H64" s="48" t="s">
        <v>291</v>
      </c>
      <c r="I64" s="25" t="s">
        <v>39</v>
      </c>
      <c r="J64" s="26" t="s">
        <v>33</v>
      </c>
    </row>
    <row r="65" ht="22.5" customHeight="1">
      <c r="A65" s="19">
        <v>46084.0</v>
      </c>
      <c r="B65" s="49" t="s">
        <v>285</v>
      </c>
      <c r="C65" s="20">
        <v>18.0</v>
      </c>
      <c r="D65" s="21" t="s">
        <v>40</v>
      </c>
      <c r="E65" s="22" t="s">
        <v>53</v>
      </c>
      <c r="F65" s="47" t="s">
        <v>292</v>
      </c>
      <c r="G65" s="46"/>
      <c r="H65" s="48" t="s">
        <v>293</v>
      </c>
      <c r="I65" s="25" t="s">
        <v>39</v>
      </c>
      <c r="J65" s="26" t="s">
        <v>33</v>
      </c>
    </row>
    <row r="66" ht="22.5" customHeight="1">
      <c r="A66" s="19">
        <v>46084.0</v>
      </c>
      <c r="B66" s="49" t="s">
        <v>285</v>
      </c>
      <c r="C66" s="20">
        <v>6.0</v>
      </c>
      <c r="D66" s="21" t="s">
        <v>20</v>
      </c>
      <c r="E66" s="22" t="s">
        <v>84</v>
      </c>
      <c r="F66" s="46"/>
      <c r="G66" s="47" t="s">
        <v>294</v>
      </c>
      <c r="H66" s="48" t="s">
        <v>295</v>
      </c>
      <c r="I66" s="25" t="s">
        <v>23</v>
      </c>
      <c r="J66" s="26" t="s">
        <v>24</v>
      </c>
    </row>
    <row r="67" ht="22.5" customHeight="1">
      <c r="A67" s="19">
        <v>46084.0</v>
      </c>
      <c r="B67" s="49" t="s">
        <v>285</v>
      </c>
      <c r="C67" s="20">
        <v>6.0</v>
      </c>
      <c r="D67" s="21" t="s">
        <v>20</v>
      </c>
      <c r="E67" s="22" t="s">
        <v>85</v>
      </c>
      <c r="F67" s="46"/>
      <c r="G67" s="47" t="s">
        <v>296</v>
      </c>
      <c r="H67" s="48" t="s">
        <v>297</v>
      </c>
      <c r="I67" s="25" t="s">
        <v>23</v>
      </c>
      <c r="J67" s="26" t="s">
        <v>24</v>
      </c>
    </row>
    <row r="68" ht="22.5" customHeight="1">
      <c r="A68" s="19">
        <v>46084.0</v>
      </c>
      <c r="B68" s="49" t="s">
        <v>285</v>
      </c>
      <c r="C68" s="20">
        <v>6.0</v>
      </c>
      <c r="D68" s="21" t="s">
        <v>20</v>
      </c>
      <c r="E68" s="22" t="s">
        <v>86</v>
      </c>
      <c r="F68" s="46"/>
      <c r="G68" s="47" t="s">
        <v>200</v>
      </c>
      <c r="H68" s="48" t="s">
        <v>298</v>
      </c>
      <c r="I68" s="25" t="s">
        <v>23</v>
      </c>
      <c r="J68" s="26" t="s">
        <v>24</v>
      </c>
    </row>
    <row r="69" ht="22.5" customHeight="1">
      <c r="A69" s="19">
        <v>46084.0</v>
      </c>
      <c r="B69" s="49" t="s">
        <v>285</v>
      </c>
      <c r="C69" s="20">
        <v>6.0</v>
      </c>
      <c r="D69" s="21" t="s">
        <v>20</v>
      </c>
      <c r="E69" s="22" t="s">
        <v>87</v>
      </c>
      <c r="F69" s="46"/>
      <c r="G69" s="47" t="s">
        <v>299</v>
      </c>
      <c r="H69" s="48" t="s">
        <v>300</v>
      </c>
      <c r="I69" s="25" t="s">
        <v>23</v>
      </c>
      <c r="J69" s="26" t="s">
        <v>24</v>
      </c>
    </row>
    <row r="70" ht="22.5" customHeight="1">
      <c r="A70" s="19">
        <v>46084.0</v>
      </c>
      <c r="B70" s="49" t="s">
        <v>285</v>
      </c>
      <c r="C70" s="20">
        <v>6.0</v>
      </c>
      <c r="D70" s="21" t="s">
        <v>20</v>
      </c>
      <c r="E70" s="22" t="s">
        <v>88</v>
      </c>
      <c r="F70" s="46"/>
      <c r="G70" s="47" t="s">
        <v>260</v>
      </c>
      <c r="H70" s="48" t="s">
        <v>301</v>
      </c>
      <c r="I70" s="25" t="s">
        <v>24</v>
      </c>
      <c r="J70" s="26" t="s">
        <v>24</v>
      </c>
    </row>
    <row r="71" ht="22.5" customHeight="1">
      <c r="A71" s="19">
        <v>46084.0</v>
      </c>
      <c r="B71" s="49" t="s">
        <v>271</v>
      </c>
      <c r="C71" s="20">
        <v>16.0</v>
      </c>
      <c r="D71" s="21" t="s">
        <v>16</v>
      </c>
      <c r="E71" s="22" t="s">
        <v>17</v>
      </c>
      <c r="F71" s="47" t="s">
        <v>210</v>
      </c>
      <c r="G71" s="46"/>
      <c r="H71" s="48" t="s">
        <v>302</v>
      </c>
      <c r="I71" s="25" t="s">
        <v>39</v>
      </c>
      <c r="J71" s="26" t="s">
        <v>33</v>
      </c>
    </row>
    <row r="72" ht="22.5" customHeight="1">
      <c r="A72" s="19">
        <v>46084.0</v>
      </c>
      <c r="B72" s="49" t="s">
        <v>271</v>
      </c>
      <c r="C72" s="20">
        <v>37.0</v>
      </c>
      <c r="D72" s="21" t="s">
        <v>11</v>
      </c>
      <c r="E72" s="22" t="s">
        <v>79</v>
      </c>
      <c r="F72" s="47" t="s">
        <v>303</v>
      </c>
      <c r="G72" s="46"/>
      <c r="H72" s="48" t="s">
        <v>304</v>
      </c>
      <c r="I72" s="25" t="s">
        <v>39</v>
      </c>
      <c r="J72" s="26" t="s">
        <v>33</v>
      </c>
    </row>
    <row r="73" ht="22.5" customHeight="1">
      <c r="A73" s="19">
        <v>46084.0</v>
      </c>
      <c r="B73" s="49" t="s">
        <v>271</v>
      </c>
      <c r="C73" s="20">
        <v>6.0</v>
      </c>
      <c r="D73" s="21" t="s">
        <v>20</v>
      </c>
      <c r="E73" s="22" t="s">
        <v>80</v>
      </c>
      <c r="F73" s="46"/>
      <c r="G73" s="47" t="s">
        <v>299</v>
      </c>
      <c r="H73" s="48" t="s">
        <v>305</v>
      </c>
      <c r="I73" s="25" t="s">
        <v>39</v>
      </c>
      <c r="J73" s="26" t="s">
        <v>33</v>
      </c>
    </row>
    <row r="74" ht="22.5" customHeight="1">
      <c r="A74" s="19">
        <v>46084.0</v>
      </c>
      <c r="B74" s="49" t="s">
        <v>306</v>
      </c>
      <c r="C74" s="20">
        <v>35.0</v>
      </c>
      <c r="D74" s="21" t="s">
        <v>68</v>
      </c>
      <c r="E74" s="22" t="s">
        <v>69</v>
      </c>
      <c r="F74" s="46"/>
      <c r="G74" s="47" t="s">
        <v>200</v>
      </c>
      <c r="H74" s="48" t="s">
        <v>307</v>
      </c>
      <c r="I74" s="25" t="s">
        <v>39</v>
      </c>
      <c r="J74" s="26" t="s">
        <v>33</v>
      </c>
    </row>
    <row r="75" ht="22.5" customHeight="1">
      <c r="A75" s="19">
        <v>46084.0</v>
      </c>
      <c r="B75" s="49" t="s">
        <v>306</v>
      </c>
      <c r="C75" s="20">
        <v>35.0</v>
      </c>
      <c r="D75" s="21" t="s">
        <v>68</v>
      </c>
      <c r="E75" s="22" t="s">
        <v>70</v>
      </c>
      <c r="F75" s="47" t="s">
        <v>308</v>
      </c>
      <c r="G75" s="46"/>
      <c r="H75" s="48" t="s">
        <v>309</v>
      </c>
      <c r="I75" s="25" t="s">
        <v>39</v>
      </c>
      <c r="J75" s="26" t="s">
        <v>33</v>
      </c>
    </row>
    <row r="76" ht="22.5" customHeight="1">
      <c r="A76" s="19">
        <v>46084.0</v>
      </c>
      <c r="B76" s="49" t="s">
        <v>310</v>
      </c>
      <c r="C76" s="20">
        <v>19.0</v>
      </c>
      <c r="D76" s="21" t="s">
        <v>26</v>
      </c>
      <c r="E76" s="22" t="s">
        <v>47</v>
      </c>
      <c r="F76" s="47" t="s">
        <v>196</v>
      </c>
      <c r="G76" s="46"/>
      <c r="H76" s="48" t="s">
        <v>311</v>
      </c>
      <c r="I76" s="25" t="s">
        <v>39</v>
      </c>
      <c r="J76" s="26" t="s">
        <v>33</v>
      </c>
    </row>
    <row r="77" ht="22.5" customHeight="1">
      <c r="A77" s="19">
        <v>46084.0</v>
      </c>
      <c r="B77" s="49" t="s">
        <v>310</v>
      </c>
      <c r="C77" s="20">
        <v>19.0</v>
      </c>
      <c r="D77" s="21" t="s">
        <v>26</v>
      </c>
      <c r="E77" s="22" t="s">
        <v>48</v>
      </c>
      <c r="F77" s="47" t="s">
        <v>256</v>
      </c>
      <c r="G77" s="46"/>
      <c r="H77" s="48" t="s">
        <v>312</v>
      </c>
      <c r="I77" s="25" t="s">
        <v>39</v>
      </c>
      <c r="J77" s="26" t="s">
        <v>33</v>
      </c>
    </row>
    <row r="78" ht="22.5" customHeight="1">
      <c r="A78" s="19">
        <v>46084.0</v>
      </c>
      <c r="B78" s="49" t="s">
        <v>310</v>
      </c>
      <c r="C78" s="20">
        <v>19.0</v>
      </c>
      <c r="D78" s="21" t="s">
        <v>26</v>
      </c>
      <c r="E78" s="22" t="s">
        <v>49</v>
      </c>
      <c r="F78" s="47" t="s">
        <v>242</v>
      </c>
      <c r="G78" s="46"/>
      <c r="H78" s="48" t="s">
        <v>313</v>
      </c>
      <c r="I78" s="25" t="s">
        <v>39</v>
      </c>
      <c r="J78" s="26" t="s">
        <v>33</v>
      </c>
    </row>
    <row r="79" ht="22.5" customHeight="1">
      <c r="A79" s="19">
        <v>46084.0</v>
      </c>
      <c r="B79" s="49" t="s">
        <v>310</v>
      </c>
      <c r="C79" s="20">
        <v>19.0</v>
      </c>
      <c r="D79" s="21" t="s">
        <v>26</v>
      </c>
      <c r="E79" s="22" t="s">
        <v>50</v>
      </c>
      <c r="F79" s="47" t="s">
        <v>314</v>
      </c>
      <c r="G79" s="46"/>
      <c r="H79" s="48" t="s">
        <v>315</v>
      </c>
      <c r="I79" s="25" t="s">
        <v>39</v>
      </c>
      <c r="J79" s="26" t="s">
        <v>33</v>
      </c>
    </row>
    <row r="80" ht="22.5" customHeight="1">
      <c r="A80" s="19">
        <v>46084.0</v>
      </c>
      <c r="B80" s="49" t="s">
        <v>310</v>
      </c>
      <c r="C80" s="20">
        <v>19.0</v>
      </c>
      <c r="D80" s="21" t="s">
        <v>26</v>
      </c>
      <c r="E80" s="22" t="s">
        <v>51</v>
      </c>
      <c r="F80" s="47" t="s">
        <v>276</v>
      </c>
      <c r="G80" s="46"/>
      <c r="H80" s="48" t="s">
        <v>316</v>
      </c>
      <c r="I80" s="25" t="s">
        <v>39</v>
      </c>
      <c r="J80" s="26" t="s">
        <v>33</v>
      </c>
    </row>
    <row r="81" ht="22.5" customHeight="1">
      <c r="A81" s="19">
        <v>46084.0</v>
      </c>
      <c r="B81" s="49" t="s">
        <v>310</v>
      </c>
      <c r="C81" s="20">
        <v>16.0</v>
      </c>
      <c r="D81" s="21" t="s">
        <v>16</v>
      </c>
      <c r="E81" s="22" t="s">
        <v>52</v>
      </c>
      <c r="F81" s="47" t="s">
        <v>317</v>
      </c>
      <c r="G81" s="46"/>
      <c r="H81" s="48" t="s">
        <v>318</v>
      </c>
      <c r="I81" s="25" t="s">
        <v>39</v>
      </c>
      <c r="J81" s="26" t="s">
        <v>33</v>
      </c>
    </row>
    <row r="82" ht="22.5" customHeight="1">
      <c r="A82" s="19">
        <v>46084.0</v>
      </c>
      <c r="B82" s="49" t="s">
        <v>310</v>
      </c>
      <c r="C82" s="20">
        <v>18.0</v>
      </c>
      <c r="D82" s="21" t="s">
        <v>40</v>
      </c>
      <c r="E82" s="22" t="s">
        <v>53</v>
      </c>
      <c r="F82" s="47" t="s">
        <v>292</v>
      </c>
      <c r="G82" s="46"/>
      <c r="H82" s="48" t="s">
        <v>319</v>
      </c>
      <c r="I82" s="25" t="s">
        <v>39</v>
      </c>
      <c r="J82" s="26" t="s">
        <v>33</v>
      </c>
    </row>
    <row r="83" ht="22.5" customHeight="1">
      <c r="A83" s="19">
        <v>46084.0</v>
      </c>
      <c r="B83" s="49" t="s">
        <v>310</v>
      </c>
      <c r="C83" s="20">
        <v>19.0</v>
      </c>
      <c r="D83" s="21" t="s">
        <v>26</v>
      </c>
      <c r="E83" s="22" t="s">
        <v>54</v>
      </c>
      <c r="F83" s="47" t="s">
        <v>292</v>
      </c>
      <c r="G83" s="46"/>
      <c r="H83" s="48" t="s">
        <v>320</v>
      </c>
      <c r="I83" s="25" t="s">
        <v>39</v>
      </c>
      <c r="J83" s="26" t="s">
        <v>33</v>
      </c>
    </row>
    <row r="84" ht="22.5" customHeight="1">
      <c r="A84" s="19">
        <v>46084.0</v>
      </c>
      <c r="B84" s="49" t="s">
        <v>310</v>
      </c>
      <c r="C84" s="20">
        <v>19.0</v>
      </c>
      <c r="D84" s="21" t="s">
        <v>26</v>
      </c>
      <c r="E84" s="22" t="s">
        <v>55</v>
      </c>
      <c r="F84" s="47" t="s">
        <v>321</v>
      </c>
      <c r="G84" s="46"/>
      <c r="H84" s="48" t="s">
        <v>322</v>
      </c>
      <c r="I84" s="25" t="s">
        <v>39</v>
      </c>
      <c r="J84" s="26" t="s">
        <v>33</v>
      </c>
    </row>
    <row r="85" ht="22.5" customHeight="1">
      <c r="A85" s="19">
        <v>46084.0</v>
      </c>
      <c r="B85" s="49" t="s">
        <v>310</v>
      </c>
      <c r="C85" s="20">
        <v>19.0</v>
      </c>
      <c r="D85" s="21" t="s">
        <v>26</v>
      </c>
      <c r="E85" s="22" t="s">
        <v>56</v>
      </c>
      <c r="F85" s="47" t="s">
        <v>321</v>
      </c>
      <c r="G85" s="46"/>
      <c r="H85" s="48" t="s">
        <v>323</v>
      </c>
      <c r="I85" s="25" t="s">
        <v>39</v>
      </c>
      <c r="J85" s="26" t="s">
        <v>33</v>
      </c>
    </row>
    <row r="86" ht="22.5" customHeight="1">
      <c r="A86" s="19">
        <v>46084.0</v>
      </c>
      <c r="B86" s="49" t="s">
        <v>310</v>
      </c>
      <c r="C86" s="20">
        <v>19.0</v>
      </c>
      <c r="D86" s="21" t="s">
        <v>26</v>
      </c>
      <c r="E86" s="22" t="s">
        <v>57</v>
      </c>
      <c r="F86" s="47" t="s">
        <v>324</v>
      </c>
      <c r="G86" s="46"/>
      <c r="H86" s="48" t="s">
        <v>325</v>
      </c>
      <c r="I86" s="25" t="s">
        <v>39</v>
      </c>
      <c r="J86" s="26" t="s">
        <v>33</v>
      </c>
    </row>
    <row r="87" ht="22.5" customHeight="1">
      <c r="A87" s="19">
        <v>46084.0</v>
      </c>
      <c r="B87" s="49" t="s">
        <v>310</v>
      </c>
      <c r="C87" s="20">
        <v>7.0</v>
      </c>
      <c r="D87" s="21" t="s">
        <v>58</v>
      </c>
      <c r="E87" s="22" t="s">
        <v>59</v>
      </c>
      <c r="F87" s="46"/>
      <c r="G87" s="47" t="s">
        <v>326</v>
      </c>
      <c r="H87" s="48" t="s">
        <v>327</v>
      </c>
      <c r="I87" s="25" t="s">
        <v>39</v>
      </c>
      <c r="J87" s="26" t="s">
        <v>33</v>
      </c>
    </row>
    <row r="88" ht="22.5" customHeight="1">
      <c r="A88" s="19">
        <v>46084.0</v>
      </c>
      <c r="B88" s="49" t="s">
        <v>310</v>
      </c>
      <c r="C88" s="20">
        <v>19.0</v>
      </c>
      <c r="D88" s="21" t="s">
        <v>26</v>
      </c>
      <c r="E88" s="22" t="s">
        <v>60</v>
      </c>
      <c r="F88" s="47" t="s">
        <v>196</v>
      </c>
      <c r="G88" s="46"/>
      <c r="H88" s="48" t="s">
        <v>328</v>
      </c>
      <c r="I88" s="25" t="s">
        <v>39</v>
      </c>
      <c r="J88" s="26" t="s">
        <v>33</v>
      </c>
    </row>
    <row r="89" ht="22.5" customHeight="1">
      <c r="A89" s="19">
        <v>46084.0</v>
      </c>
      <c r="B89" s="49" t="s">
        <v>310</v>
      </c>
      <c r="C89" s="20">
        <v>19.0</v>
      </c>
      <c r="D89" s="21" t="s">
        <v>26</v>
      </c>
      <c r="E89" s="22" t="s">
        <v>61</v>
      </c>
      <c r="F89" s="47" t="s">
        <v>329</v>
      </c>
      <c r="G89" s="46"/>
      <c r="H89" s="48" t="s">
        <v>330</v>
      </c>
      <c r="I89" s="25" t="s">
        <v>39</v>
      </c>
      <c r="J89" s="26" t="s">
        <v>33</v>
      </c>
    </row>
    <row r="90" ht="22.5" customHeight="1">
      <c r="A90" s="19">
        <v>46084.0</v>
      </c>
      <c r="B90" s="49" t="s">
        <v>310</v>
      </c>
      <c r="C90" s="20">
        <v>19.0</v>
      </c>
      <c r="D90" s="21" t="s">
        <v>26</v>
      </c>
      <c r="E90" s="22" t="s">
        <v>62</v>
      </c>
      <c r="F90" s="47" t="s">
        <v>331</v>
      </c>
      <c r="G90" s="46"/>
      <c r="H90" s="48" t="s">
        <v>332</v>
      </c>
      <c r="I90" s="25" t="s">
        <v>39</v>
      </c>
      <c r="J90" s="26" t="s">
        <v>33</v>
      </c>
    </row>
    <row r="91" ht="22.5" customHeight="1">
      <c r="A91" s="19">
        <v>46084.0</v>
      </c>
      <c r="B91" s="49" t="s">
        <v>310</v>
      </c>
      <c r="C91" s="20">
        <v>19.0</v>
      </c>
      <c r="D91" s="21" t="s">
        <v>26</v>
      </c>
      <c r="E91" s="22" t="s">
        <v>63</v>
      </c>
      <c r="F91" s="47" t="s">
        <v>176</v>
      </c>
      <c r="G91" s="46"/>
      <c r="H91" s="48" t="s">
        <v>333</v>
      </c>
      <c r="I91" s="25" t="s">
        <v>39</v>
      </c>
      <c r="J91" s="26" t="s">
        <v>33</v>
      </c>
    </row>
    <row r="92" ht="22.5" customHeight="1">
      <c r="A92" s="19">
        <v>46084.0</v>
      </c>
      <c r="B92" s="49" t="s">
        <v>310</v>
      </c>
      <c r="C92" s="20">
        <v>19.0</v>
      </c>
      <c r="D92" s="21" t="s">
        <v>26</v>
      </c>
      <c r="E92" s="22" t="s">
        <v>64</v>
      </c>
      <c r="F92" s="47" t="s">
        <v>314</v>
      </c>
      <c r="G92" s="46"/>
      <c r="H92" s="48" t="s">
        <v>334</v>
      </c>
      <c r="I92" s="25" t="s">
        <v>39</v>
      </c>
      <c r="J92" s="26" t="s">
        <v>33</v>
      </c>
    </row>
    <row r="93" ht="22.5" customHeight="1">
      <c r="A93" s="19">
        <v>46084.0</v>
      </c>
      <c r="B93" s="49" t="s">
        <v>310</v>
      </c>
      <c r="C93" s="20">
        <v>20.0</v>
      </c>
      <c r="D93" s="21" t="s">
        <v>45</v>
      </c>
      <c r="E93" s="22" t="s">
        <v>65</v>
      </c>
      <c r="F93" s="47" t="s">
        <v>170</v>
      </c>
      <c r="G93" s="46"/>
      <c r="H93" s="48" t="s">
        <v>335</v>
      </c>
      <c r="I93" s="25" t="s">
        <v>39</v>
      </c>
      <c r="J93" s="26" t="s">
        <v>33</v>
      </c>
    </row>
    <row r="94" ht="22.5" customHeight="1">
      <c r="A94" s="19">
        <v>46084.0</v>
      </c>
      <c r="B94" s="49" t="s">
        <v>310</v>
      </c>
      <c r="C94" s="20">
        <v>37.0</v>
      </c>
      <c r="D94" s="21" t="s">
        <v>11</v>
      </c>
      <c r="E94" s="22" t="s">
        <v>66</v>
      </c>
      <c r="F94" s="47" t="s">
        <v>336</v>
      </c>
      <c r="G94" s="46"/>
      <c r="H94" s="48" t="s">
        <v>337</v>
      </c>
      <c r="I94" s="25" t="s">
        <v>39</v>
      </c>
      <c r="J94" s="26" t="s">
        <v>33</v>
      </c>
    </row>
    <row r="95" ht="22.5" customHeight="1">
      <c r="A95" s="19">
        <v>46084.0</v>
      </c>
      <c r="B95" s="49" t="s">
        <v>310</v>
      </c>
      <c r="C95" s="20">
        <v>7.0</v>
      </c>
      <c r="D95" s="21" t="s">
        <v>58</v>
      </c>
      <c r="E95" s="22" t="s">
        <v>67</v>
      </c>
      <c r="F95" s="46"/>
      <c r="G95" s="47" t="s">
        <v>200</v>
      </c>
      <c r="H95" s="48" t="s">
        <v>335</v>
      </c>
      <c r="I95" s="25" t="s">
        <v>39</v>
      </c>
      <c r="J95" s="26" t="s">
        <v>33</v>
      </c>
    </row>
    <row r="96" ht="22.5" customHeight="1">
      <c r="A96" s="19">
        <v>46084.0</v>
      </c>
      <c r="B96" s="49" t="s">
        <v>338</v>
      </c>
      <c r="C96" s="20">
        <v>6.0</v>
      </c>
      <c r="D96" s="21" t="s">
        <v>20</v>
      </c>
      <c r="E96" s="22" t="s">
        <v>35</v>
      </c>
      <c r="F96" s="46"/>
      <c r="G96" s="47" t="s">
        <v>339</v>
      </c>
      <c r="H96" s="48" t="s">
        <v>340</v>
      </c>
      <c r="I96" s="25" t="s">
        <v>23</v>
      </c>
      <c r="J96" s="26" t="s">
        <v>24</v>
      </c>
    </row>
    <row r="97" ht="22.5" customHeight="1">
      <c r="A97" s="19">
        <v>46084.0</v>
      </c>
      <c r="B97" s="49" t="s">
        <v>338</v>
      </c>
      <c r="C97" s="20">
        <v>6.0</v>
      </c>
      <c r="D97" s="21" t="s">
        <v>20</v>
      </c>
      <c r="E97" s="22" t="s">
        <v>36</v>
      </c>
      <c r="F97" s="46"/>
      <c r="G97" s="47" t="s">
        <v>207</v>
      </c>
      <c r="H97" s="48" t="s">
        <v>341</v>
      </c>
      <c r="I97" s="25" t="s">
        <v>23</v>
      </c>
      <c r="J97" s="26" t="s">
        <v>24</v>
      </c>
    </row>
    <row r="98" ht="22.5" customHeight="1">
      <c r="A98" s="19">
        <v>46084.0</v>
      </c>
      <c r="B98" s="49" t="s">
        <v>338</v>
      </c>
      <c r="C98" s="20">
        <v>6.0</v>
      </c>
      <c r="D98" s="21" t="s">
        <v>20</v>
      </c>
      <c r="E98" s="22" t="s">
        <v>37</v>
      </c>
      <c r="F98" s="46"/>
      <c r="G98" s="47" t="s">
        <v>240</v>
      </c>
      <c r="H98" s="48" t="s">
        <v>342</v>
      </c>
      <c r="I98" s="25" t="s">
        <v>23</v>
      </c>
      <c r="J98" s="26" t="s">
        <v>24</v>
      </c>
    </row>
    <row r="99" ht="22.5" customHeight="1">
      <c r="A99" s="19">
        <v>46084.0</v>
      </c>
      <c r="B99" s="49" t="s">
        <v>338</v>
      </c>
      <c r="C99" s="20">
        <v>37.0</v>
      </c>
      <c r="D99" s="21" t="s">
        <v>11</v>
      </c>
      <c r="E99" s="22" t="s">
        <v>38</v>
      </c>
      <c r="F99" s="47" t="s">
        <v>343</v>
      </c>
      <c r="G99" s="46"/>
      <c r="H99" s="48" t="s">
        <v>344</v>
      </c>
      <c r="I99" s="25" t="s">
        <v>39</v>
      </c>
      <c r="J99" s="26" t="s">
        <v>33</v>
      </c>
    </row>
  </sheetData>
  <dataValidations>
    <dataValidation type="list" allowBlank="1" showDropDown="1" showErrorMessage="1" sqref="I2:I99">
      <formula1>"NARANJA X,EFECTIVO,MUTUAL"</formula1>
    </dataValidation>
    <dataValidation type="custom" allowBlank="1" showDropDown="1" sqref="A2:A99">
      <formula1>OR(NOT(ISERROR(DATEVALUE(A2))), AND(ISNUMBER(A2), LEFT(CELL("format", A2))="D"))</formula1>
    </dataValidation>
    <dataValidation type="custom" allowBlank="1" showDropDown="1" sqref="C2:C99">
      <formula1>AND(ISNUMBER(C2),(NOT(OR(NOT(ISERROR(DATEVALUE(C2))), AND(ISNUMBER(C2), LEFT(CELL("format", C2))="D")))))</formula1>
    </dataValidation>
    <dataValidation type="list" allowBlank="1" showDropDown="1" showErrorMessage="1" sqref="J2:J99">
      <formula1>"TRANSFERENCIA,EFECTIVO"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>
        <v>46025.0</v>
      </c>
      <c r="B1" s="50">
        <v>46025.0</v>
      </c>
    </row>
    <row r="2">
      <c r="A2" s="50">
        <v>46025.0</v>
      </c>
      <c r="B2" s="50">
        <v>46025.0</v>
      </c>
    </row>
    <row r="3">
      <c r="A3" s="50">
        <v>46084.0</v>
      </c>
      <c r="B3" s="50">
        <v>46084.0</v>
      </c>
    </row>
    <row r="4">
      <c r="A4" s="50">
        <v>46084.0</v>
      </c>
      <c r="B4" s="50">
        <v>46084.0</v>
      </c>
    </row>
    <row r="5">
      <c r="A5" s="50">
        <v>46115.0</v>
      </c>
      <c r="B5" s="50">
        <v>46115.0</v>
      </c>
    </row>
    <row r="6">
      <c r="A6" s="51">
        <v>46145.0</v>
      </c>
      <c r="B6" s="51">
        <v>46145.0</v>
      </c>
    </row>
    <row r="7">
      <c r="A7" s="51">
        <v>46145.0</v>
      </c>
      <c r="B7" s="51">
        <v>46145.0</v>
      </c>
    </row>
    <row r="8">
      <c r="A8" s="51">
        <v>46145.0</v>
      </c>
      <c r="B8" s="51">
        <v>46145.0</v>
      </c>
    </row>
    <row r="9">
      <c r="A9" s="51">
        <v>46176.0</v>
      </c>
      <c r="B9" s="51">
        <v>46176.0</v>
      </c>
    </row>
    <row r="10">
      <c r="A10" s="51">
        <v>46176.0</v>
      </c>
      <c r="B10" s="51">
        <v>46176.0</v>
      </c>
    </row>
    <row r="11">
      <c r="A11" s="51">
        <v>46176.0</v>
      </c>
      <c r="B11" s="51">
        <v>46176.0</v>
      </c>
    </row>
    <row r="12">
      <c r="A12" s="51">
        <v>46176.0</v>
      </c>
      <c r="B12" s="51">
        <v>46176.0</v>
      </c>
    </row>
    <row r="13">
      <c r="A13" s="51">
        <v>46176.0</v>
      </c>
      <c r="B13" s="51">
        <v>46176.0</v>
      </c>
    </row>
    <row r="14">
      <c r="A14" s="51">
        <v>46176.0</v>
      </c>
      <c r="B14" s="51">
        <v>46176.0</v>
      </c>
    </row>
    <row r="15">
      <c r="A15" s="51">
        <v>46176.0</v>
      </c>
      <c r="B15" s="51">
        <v>46176.0</v>
      </c>
    </row>
    <row r="16">
      <c r="A16" s="51">
        <v>46268.0</v>
      </c>
      <c r="B16" s="51">
        <v>46268.0</v>
      </c>
    </row>
    <row r="17">
      <c r="A17" s="51">
        <v>46268.0</v>
      </c>
      <c r="B17" s="51">
        <v>46268.0</v>
      </c>
    </row>
    <row r="18">
      <c r="A18" s="51">
        <v>46268.0</v>
      </c>
      <c r="B18" s="51">
        <v>46268.0</v>
      </c>
    </row>
    <row r="19">
      <c r="A19" s="51">
        <v>46268.0</v>
      </c>
      <c r="B19" s="51">
        <v>46268.0</v>
      </c>
    </row>
    <row r="20">
      <c r="A20" s="51">
        <v>46298.0</v>
      </c>
      <c r="B20" s="51">
        <v>46298.0</v>
      </c>
    </row>
    <row r="21">
      <c r="A21" s="51">
        <v>46298.0</v>
      </c>
      <c r="B21" s="51">
        <v>46298.0</v>
      </c>
    </row>
    <row r="22">
      <c r="A22" s="51">
        <v>46298.0</v>
      </c>
      <c r="B22" s="51">
        <v>46298.0</v>
      </c>
    </row>
    <row r="23">
      <c r="A23" s="51">
        <v>46298.0</v>
      </c>
      <c r="B23" s="51">
        <v>46298.0</v>
      </c>
    </row>
    <row r="24">
      <c r="A24" s="51">
        <v>46298.0</v>
      </c>
      <c r="B24" s="51">
        <v>46298.0</v>
      </c>
    </row>
    <row r="25">
      <c r="A25" s="51">
        <v>46298.0</v>
      </c>
      <c r="B25" s="51">
        <v>46298.0</v>
      </c>
    </row>
    <row r="26">
      <c r="A26" s="51">
        <v>46329.0</v>
      </c>
      <c r="B26" s="51">
        <v>46329.0</v>
      </c>
    </row>
    <row r="27">
      <c r="A27" s="51">
        <v>46329.0</v>
      </c>
      <c r="B27" s="51">
        <v>46329.0</v>
      </c>
    </row>
    <row r="28">
      <c r="A28" s="51">
        <v>46329.0</v>
      </c>
      <c r="B28" s="51">
        <v>46329.0</v>
      </c>
    </row>
    <row r="29">
      <c r="A29" s="51">
        <v>46329.0</v>
      </c>
      <c r="B29" s="51">
        <v>46329.0</v>
      </c>
    </row>
    <row r="30">
      <c r="A30" s="51">
        <v>46329.0</v>
      </c>
      <c r="B30" s="51">
        <v>46329.0</v>
      </c>
    </row>
    <row r="31">
      <c r="A31" s="51">
        <v>46329.0</v>
      </c>
      <c r="B31" s="51">
        <v>46329.0</v>
      </c>
    </row>
    <row r="32">
      <c r="A32" s="51">
        <v>46359.0</v>
      </c>
      <c r="B32" s="51">
        <v>46359.0</v>
      </c>
    </row>
    <row r="33">
      <c r="A33" s="51">
        <v>46359.0</v>
      </c>
      <c r="B33" s="51">
        <v>46359.0</v>
      </c>
    </row>
    <row r="34">
      <c r="A34" s="51">
        <v>46359.0</v>
      </c>
      <c r="B34" s="51">
        <v>46359.0</v>
      </c>
    </row>
    <row r="35">
      <c r="A35" s="51">
        <v>46359.0</v>
      </c>
      <c r="B35" s="51">
        <v>46359.0</v>
      </c>
    </row>
    <row r="36">
      <c r="A36" s="52" t="s">
        <v>230</v>
      </c>
      <c r="B36" s="52" t="s">
        <v>230</v>
      </c>
    </row>
    <row r="37">
      <c r="A37" s="52" t="s">
        <v>230</v>
      </c>
      <c r="B37" s="52" t="s">
        <v>230</v>
      </c>
    </row>
    <row r="38">
      <c r="A38" s="52" t="s">
        <v>230</v>
      </c>
      <c r="B38" s="52" t="s">
        <v>230</v>
      </c>
    </row>
    <row r="39">
      <c r="A39" s="52" t="s">
        <v>230</v>
      </c>
      <c r="B39" s="52" t="s">
        <v>230</v>
      </c>
    </row>
    <row r="40">
      <c r="A40" s="52" t="s">
        <v>230</v>
      </c>
      <c r="B40" s="52" t="s">
        <v>230</v>
      </c>
    </row>
    <row r="41">
      <c r="A41" s="52" t="s">
        <v>230</v>
      </c>
      <c r="B41" s="52" t="s">
        <v>230</v>
      </c>
    </row>
    <row r="42">
      <c r="A42" s="52" t="s">
        <v>230</v>
      </c>
      <c r="B42" s="52" t="s">
        <v>230</v>
      </c>
    </row>
    <row r="43">
      <c r="A43" s="52" t="s">
        <v>230</v>
      </c>
      <c r="B43" s="52" t="s">
        <v>230</v>
      </c>
    </row>
    <row r="44">
      <c r="A44" s="52" t="s">
        <v>230</v>
      </c>
      <c r="B44" s="52" t="s">
        <v>230</v>
      </c>
    </row>
    <row r="45">
      <c r="A45" s="52" t="s">
        <v>230</v>
      </c>
      <c r="B45" s="52" t="s">
        <v>230</v>
      </c>
    </row>
    <row r="46">
      <c r="A46" s="52" t="s">
        <v>230</v>
      </c>
      <c r="B46" s="52" t="s">
        <v>230</v>
      </c>
    </row>
    <row r="47">
      <c r="A47" s="52" t="s">
        <v>230</v>
      </c>
      <c r="B47" s="52" t="s">
        <v>230</v>
      </c>
    </row>
    <row r="48">
      <c r="A48" s="52" t="s">
        <v>230</v>
      </c>
      <c r="B48" s="52" t="s">
        <v>230</v>
      </c>
    </row>
    <row r="49">
      <c r="A49" s="52" t="s">
        <v>230</v>
      </c>
      <c r="B49" s="52" t="s">
        <v>230</v>
      </c>
    </row>
    <row r="50">
      <c r="A50" s="52" t="s">
        <v>262</v>
      </c>
      <c r="B50" s="52" t="s">
        <v>262</v>
      </c>
    </row>
    <row r="51">
      <c r="A51" s="52" t="s">
        <v>264</v>
      </c>
      <c r="B51" s="52" t="s">
        <v>264</v>
      </c>
    </row>
    <row r="52">
      <c r="A52" s="52" t="s">
        <v>264</v>
      </c>
      <c r="B52" s="52" t="s">
        <v>264</v>
      </c>
    </row>
    <row r="53">
      <c r="A53" s="52" t="s">
        <v>264</v>
      </c>
      <c r="B53" s="52" t="s">
        <v>264</v>
      </c>
    </row>
    <row r="54">
      <c r="A54" s="52" t="s">
        <v>264</v>
      </c>
      <c r="B54" s="52" t="s">
        <v>264</v>
      </c>
    </row>
    <row r="55">
      <c r="A55" s="52" t="s">
        <v>271</v>
      </c>
      <c r="B55" s="52" t="s">
        <v>271</v>
      </c>
    </row>
    <row r="56">
      <c r="A56" s="52" t="s">
        <v>271</v>
      </c>
      <c r="B56" s="52" t="s">
        <v>271</v>
      </c>
    </row>
    <row r="57">
      <c r="A57" s="52" t="s">
        <v>271</v>
      </c>
      <c r="B57" s="52" t="s">
        <v>271</v>
      </c>
    </row>
    <row r="58">
      <c r="A58" s="52" t="s">
        <v>271</v>
      </c>
      <c r="B58" s="52" t="s">
        <v>271</v>
      </c>
    </row>
    <row r="59">
      <c r="A59" s="52" t="s">
        <v>280</v>
      </c>
      <c r="B59" s="52" t="s">
        <v>280</v>
      </c>
    </row>
    <row r="60">
      <c r="A60" s="52" t="s">
        <v>280</v>
      </c>
      <c r="B60" s="52" t="s">
        <v>280</v>
      </c>
    </row>
    <row r="61">
      <c r="A61" s="52" t="s">
        <v>285</v>
      </c>
      <c r="B61" s="52" t="s">
        <v>285</v>
      </c>
    </row>
    <row r="62">
      <c r="A62" s="52" t="s">
        <v>285</v>
      </c>
      <c r="B62" s="52" t="s">
        <v>285</v>
      </c>
    </row>
    <row r="63">
      <c r="A63" s="52" t="s">
        <v>285</v>
      </c>
      <c r="B63" s="52" t="s">
        <v>285</v>
      </c>
    </row>
    <row r="64">
      <c r="A64" s="52" t="s">
        <v>285</v>
      </c>
      <c r="B64" s="52" t="s">
        <v>285</v>
      </c>
    </row>
    <row r="65">
      <c r="A65" s="52" t="s">
        <v>285</v>
      </c>
      <c r="B65" s="52" t="s">
        <v>285</v>
      </c>
    </row>
    <row r="66">
      <c r="A66" s="52" t="s">
        <v>285</v>
      </c>
      <c r="B66" s="52" t="s">
        <v>285</v>
      </c>
    </row>
    <row r="67">
      <c r="A67" s="52" t="s">
        <v>285</v>
      </c>
      <c r="B67" s="52" t="s">
        <v>285</v>
      </c>
    </row>
    <row r="68">
      <c r="A68" s="52" t="s">
        <v>285</v>
      </c>
      <c r="B68" s="52" t="s">
        <v>285</v>
      </c>
    </row>
    <row r="69">
      <c r="A69" s="52" t="s">
        <v>285</v>
      </c>
      <c r="B69" s="52" t="s">
        <v>285</v>
      </c>
    </row>
    <row r="70">
      <c r="A70" s="52" t="s">
        <v>271</v>
      </c>
      <c r="B70" s="52" t="s">
        <v>271</v>
      </c>
    </row>
    <row r="71">
      <c r="A71" s="52" t="s">
        <v>271</v>
      </c>
      <c r="B71" s="52" t="s">
        <v>271</v>
      </c>
    </row>
    <row r="72">
      <c r="A72" s="52" t="s">
        <v>271</v>
      </c>
      <c r="B72" s="52" t="s">
        <v>271</v>
      </c>
    </row>
    <row r="73">
      <c r="A73" s="52" t="s">
        <v>306</v>
      </c>
      <c r="B73" s="52" t="s">
        <v>306</v>
      </c>
    </row>
    <row r="74">
      <c r="A74" s="52" t="s">
        <v>306</v>
      </c>
      <c r="B74" s="52" t="s">
        <v>306</v>
      </c>
    </row>
    <row r="75">
      <c r="A75" s="52" t="s">
        <v>310</v>
      </c>
      <c r="B75" s="52" t="s">
        <v>310</v>
      </c>
    </row>
    <row r="76">
      <c r="A76" s="52" t="s">
        <v>310</v>
      </c>
      <c r="B76" s="52" t="s">
        <v>310</v>
      </c>
    </row>
    <row r="77">
      <c r="A77" s="52" t="s">
        <v>310</v>
      </c>
      <c r="B77" s="52" t="s">
        <v>310</v>
      </c>
    </row>
    <row r="78">
      <c r="A78" s="52" t="s">
        <v>310</v>
      </c>
      <c r="B78" s="52" t="s">
        <v>310</v>
      </c>
    </row>
    <row r="79">
      <c r="A79" s="52" t="s">
        <v>310</v>
      </c>
      <c r="B79" s="52" t="s">
        <v>310</v>
      </c>
    </row>
    <row r="80">
      <c r="A80" s="52" t="s">
        <v>310</v>
      </c>
      <c r="B80" s="52" t="s">
        <v>310</v>
      </c>
    </row>
    <row r="81">
      <c r="A81" s="52" t="s">
        <v>310</v>
      </c>
      <c r="B81" s="52" t="s">
        <v>310</v>
      </c>
    </row>
    <row r="82">
      <c r="A82" s="52" t="s">
        <v>310</v>
      </c>
      <c r="B82" s="52" t="s">
        <v>310</v>
      </c>
    </row>
    <row r="83">
      <c r="A83" s="52" t="s">
        <v>310</v>
      </c>
      <c r="B83" s="52" t="s">
        <v>310</v>
      </c>
    </row>
    <row r="84">
      <c r="A84" s="52" t="s">
        <v>310</v>
      </c>
      <c r="B84" s="52" t="s">
        <v>310</v>
      </c>
    </row>
    <row r="85">
      <c r="A85" s="52" t="s">
        <v>310</v>
      </c>
      <c r="B85" s="52" t="s">
        <v>310</v>
      </c>
    </row>
    <row r="86">
      <c r="A86" s="52" t="s">
        <v>310</v>
      </c>
      <c r="B86" s="52" t="s">
        <v>310</v>
      </c>
    </row>
    <row r="87">
      <c r="A87" s="52" t="s">
        <v>310</v>
      </c>
      <c r="B87" s="52" t="s">
        <v>310</v>
      </c>
    </row>
    <row r="88">
      <c r="A88" s="52" t="s">
        <v>310</v>
      </c>
      <c r="B88" s="52" t="s">
        <v>310</v>
      </c>
    </row>
    <row r="89">
      <c r="A89" s="52" t="s">
        <v>310</v>
      </c>
      <c r="B89" s="52" t="s">
        <v>310</v>
      </c>
    </row>
    <row r="90">
      <c r="A90" s="52" t="s">
        <v>310</v>
      </c>
      <c r="B90" s="52" t="s">
        <v>310</v>
      </c>
    </row>
    <row r="91">
      <c r="A91" s="52" t="s">
        <v>310</v>
      </c>
      <c r="B91" s="52" t="s">
        <v>310</v>
      </c>
    </row>
    <row r="92">
      <c r="A92" s="52" t="s">
        <v>310</v>
      </c>
      <c r="B92" s="52" t="s">
        <v>310</v>
      </c>
    </row>
    <row r="93">
      <c r="A93" s="52" t="s">
        <v>310</v>
      </c>
      <c r="B93" s="52" t="s">
        <v>310</v>
      </c>
    </row>
    <row r="94">
      <c r="A94" s="52" t="s">
        <v>310</v>
      </c>
      <c r="B94" s="52" t="s">
        <v>310</v>
      </c>
    </row>
    <row r="95">
      <c r="A95" s="52" t="s">
        <v>338</v>
      </c>
      <c r="B95" s="52" t="s">
        <v>338</v>
      </c>
    </row>
    <row r="96">
      <c r="A96" s="52" t="s">
        <v>338</v>
      </c>
      <c r="B96" s="52" t="s">
        <v>338</v>
      </c>
    </row>
    <row r="97">
      <c r="A97" s="52" t="s">
        <v>338</v>
      </c>
      <c r="B97" s="52" t="s">
        <v>338</v>
      </c>
    </row>
    <row r="98">
      <c r="A98" s="52" t="s">
        <v>338</v>
      </c>
      <c r="B98" s="52" t="s">
        <v>338</v>
      </c>
    </row>
  </sheetData>
  <drawing r:id="rId1"/>
  <tableParts count="1">
    <tablePart r:id="rId3"/>
  </tableParts>
</worksheet>
</file>