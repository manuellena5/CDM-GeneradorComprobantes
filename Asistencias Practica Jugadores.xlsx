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" sheetId="1" r:id="rId5"/>
    <sheet state="visible" name="Resumen" sheetId="2" r:id="rId6"/>
    <sheet state="visible" name="Config" sheetId="3" r:id="rId7"/>
    <sheet state="visible" name="Dashboard_Data" sheetId="4" r:id="rId8"/>
    <sheet state="visible" name="Asistencias por dia" sheetId="5" r:id="rId9"/>
    <sheet state="visible" name="Jugadores" sheetId="6" r:id="rId10"/>
  </sheets>
  <definedNames/>
  <calcPr/>
</workbook>
</file>

<file path=xl/sharedStrings.xml><?xml version="1.0" encoding="utf-8"?>
<sst xmlns="http://schemas.openxmlformats.org/spreadsheetml/2006/main" count="253" uniqueCount="66">
  <si>
    <t>Marca temporal</t>
  </si>
  <si>
    <t>Fecha entrenamiento</t>
  </si>
  <si>
    <t>Jugadores de afuera</t>
  </si>
  <si>
    <t xml:space="preserve">Ausentes con aviso </t>
  </si>
  <si>
    <t>Jugadores Locales</t>
  </si>
  <si>
    <t>Ausentes con aviso</t>
  </si>
  <si>
    <t>LAZANEO Juan Manuel, LENCINA Nicolas, SANCHEZ Hernan</t>
  </si>
  <si>
    <t>Algunos entrenaron en el pueblo con laburos que les pase</t>
  </si>
  <si>
    <t>BERNAUS Agustin, GOMEZ Gustavo "Chiqui", FOSSARELLI Antonio, MENDOZA Alexis "Pelado", GOMEZ Juan Pablo "Zorrito", VIJARRA Nahuel</t>
  </si>
  <si>
    <t>Pulga y hongo en Rosario y vienen mañana</t>
  </si>
  <si>
    <t>CARRANZA Matias, DEL VALLE Jonatan, LANDRIEL Alexis, LANDRIEL Federico, LAZANEO Juan Manuel, LECUIMA Esteban "Kun", LENCINA Nicolas, MANSILLA Alexis, MANSILLA Carlos, PAIRETTI Franco, SANCHEZ Hernan, VILLARUEL Dario "Caco", ÑAÑEZ Ruben</t>
  </si>
  <si>
    <t>Salían a las 20hs de trabajar Nieto y Diaz</t>
  </si>
  <si>
    <t>BERNAUS Federico, BERNAUS Agustin, GOMEZ Gustavo "Chiqui", FOSSARELLI Antonio, MENDOZA Alexis "Pelado", GOMEZ Juan Pablo "Zorrito", VIJARRA Nahuel</t>
  </si>
  <si>
    <t>Poche estaba en rosario</t>
  </si>
  <si>
    <t>JUGADORES</t>
  </si>
  <si>
    <t>ASISTENCIAS</t>
  </si>
  <si>
    <t>TOTAL ENTRENAMIENTOS</t>
  </si>
  <si>
    <t>INASISTENCIAS</t>
  </si>
  <si>
    <t>TOTAL LITROS COMB.</t>
  </si>
  <si>
    <t>CANT. VIANDAS</t>
  </si>
  <si>
    <t>MONTO TOTAL VIANDAS</t>
  </si>
  <si>
    <t>CANT. REMISES</t>
  </si>
  <si>
    <t>MONTO TOTAL REMISES</t>
  </si>
  <si>
    <t>TOTAL A PAGAR</t>
  </si>
  <si>
    <t>CARRANZA Matias</t>
  </si>
  <si>
    <t>DEL VALLE Jonatan</t>
  </si>
  <si>
    <t>Diaz Jonatan "Chancla"</t>
  </si>
  <si>
    <t>LANDRIEL Alexis</t>
  </si>
  <si>
    <t>LANDRIEL Federico</t>
  </si>
  <si>
    <t>LAZANEO Juan Manuel</t>
  </si>
  <si>
    <t>LECUIMA Esteban "Kun"</t>
  </si>
  <si>
    <t>LENCINA Nicolas</t>
  </si>
  <si>
    <t>MANSILLA Alexis</t>
  </si>
  <si>
    <t>MANSILLA Carlos</t>
  </si>
  <si>
    <t>NIETO Fabio "Cata"</t>
  </si>
  <si>
    <t>PAIRETTI Franco</t>
  </si>
  <si>
    <t>SANCHEZ Hernan</t>
  </si>
  <si>
    <t>VILLARUEL Dario "Caco"</t>
  </si>
  <si>
    <t>ÑAÑEZ Ruben</t>
  </si>
  <si>
    <t>BERNAUS Federico</t>
  </si>
  <si>
    <t>BERNAUS Agustin</t>
  </si>
  <si>
    <t>GOMEZ Gustavo "Chiqui"</t>
  </si>
  <si>
    <t>FOSSARELLI Antonio</t>
  </si>
  <si>
    <t>MENDOZA Alexis "Pelado"</t>
  </si>
  <si>
    <t>GOMEZ Juan Pablo "Zorrito"</t>
  </si>
  <si>
    <t>POCHETTINO Dante</t>
  </si>
  <si>
    <t>VIJARRA Nahuel</t>
  </si>
  <si>
    <t>IRAZOQUI PABLO</t>
  </si>
  <si>
    <t>Mes</t>
  </si>
  <si>
    <t>Marzo</t>
  </si>
  <si>
    <t>Fecha inicio periodo</t>
  </si>
  <si>
    <t>Fecha fin periodo</t>
  </si>
  <si>
    <t>Valor vianda</t>
  </si>
  <si>
    <t>Fecha</t>
  </si>
  <si>
    <t>Jugador</t>
  </si>
  <si>
    <t>Tipo</t>
  </si>
  <si>
    <t>Litros</t>
  </si>
  <si>
    <t>Vianda</t>
  </si>
  <si>
    <t>Remis</t>
  </si>
  <si>
    <t>Monto Remis</t>
  </si>
  <si>
    <t>Afuera</t>
  </si>
  <si>
    <t>NO</t>
  </si>
  <si>
    <t>SI</t>
  </si>
  <si>
    <t>Local</t>
  </si>
  <si>
    <t>Nombre</t>
  </si>
  <si>
    <t>Litros/dia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</si>
</sst>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4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Respue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Dashboard_Data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Jugadore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Form_Responses" name="Form_Responses" id="1">
  <tableColumns count="6">
    <tableColumn name="Marca temporal" id="1"/>
    <tableColumn name="Fecha entrenamiento" id="2"/>
    <tableColumn name="Jugadores de afuera" id="3"/>
    <tableColumn name="Ausentes con aviso " id="4"/>
    <tableColumn name="Jugadores Locales" id="5"/>
    <tableColumn name="Ausentes con aviso" id="6"/>
  </tableColumns>
  <tableStyleInfo name="Respuestas-style" showColumnStripes="0" showFirstColumn="1" showLastColumn="1" showRowStripes="1"/>
</table>
</file>

<file path=xl/tables/table2.xml><?xml version="1.0" encoding="utf-8"?>
<table xmlns="http://schemas.openxmlformats.org/spreadsheetml/2006/main" ref="A1:J25" displayName="Tabla_2" name="Tabla_2" id="2">
  <tableColumns count="10">
    <tableColumn name="JUGADORES" id="1"/>
    <tableColumn name="ASISTENCIAS" id="2"/>
    <tableColumn name="TOTAL ENTRENAMIENTOS" id="3"/>
    <tableColumn name="INASISTENCIAS" id="4"/>
    <tableColumn name="TOTAL LITROS COMB." id="5"/>
    <tableColumn name="CANT. VIANDAS" id="6"/>
    <tableColumn name="MONTO TOTAL VIANDAS" id="7"/>
    <tableColumn name="CANT. REMISES" id="8"/>
    <tableColumn name="MONTO TOTAL REMISES" id="9"/>
    <tableColumn name="TOTAL A PAGAR" id="10"/>
  </tableColumns>
  <tableStyleInfo name="Resumen-style" showColumnStripes="0" showFirstColumn="1" showLastColumn="1" showRowStripes="1"/>
</table>
</file>

<file path=xl/tables/table3.xml><?xml version="1.0" encoding="utf-8"?>
<table xmlns="http://schemas.openxmlformats.org/spreadsheetml/2006/main" ref="A1:G30" displayName="Tabla_3" name="Tabla_3" id="3">
  <tableColumns count="7">
    <tableColumn name="Fecha" id="1"/>
    <tableColumn name="Jugador" id="2"/>
    <tableColumn name="Tipo" id="3"/>
    <tableColumn name="Litros" id="4"/>
    <tableColumn name="Vianda" id="5"/>
    <tableColumn name="Remis" id="6"/>
    <tableColumn name="Monto Remis" id="7"/>
  </tableColumns>
  <tableStyleInfo name="Dashboard_Data-style" showColumnStripes="0" showFirstColumn="1" showLastColumn="1" showRowStripes="1"/>
</table>
</file>

<file path=xl/tables/table4.xml><?xml version="1.0" encoding="utf-8"?>
<table xmlns="http://schemas.openxmlformats.org/spreadsheetml/2006/main" ref="A1:E25" displayName="Tabla_1" name="Tabla_1" id="4">
  <tableColumns count="5">
    <tableColumn name="Nombre" id="1"/>
    <tableColumn name="Litros/dia" id="2"/>
    <tableColumn name="Vianda" id="3"/>
    <tableColumn name="Remis" id="4"/>
    <tableColumn name="Monto Remis" id="5"/>
  </tableColumns>
  <tableStyleInfo name="Ju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1.13"/>
    <col customWidth="1" min="3" max="3" width="20.38"/>
    <col customWidth="1" min="4" max="4" width="45.0"/>
    <col customWidth="1" min="5" max="5" width="23.25"/>
    <col customWidth="1" min="6" max="6" width="33.88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17.0" customHeight="1">
      <c r="A2" s="3">
        <v>46097.965026666665</v>
      </c>
      <c r="B2" s="4">
        <v>46097.0</v>
      </c>
      <c r="C2" s="5" t="s">
        <v>6</v>
      </c>
      <c r="D2" s="6" t="s">
        <v>7</v>
      </c>
      <c r="E2" s="5" t="s">
        <v>8</v>
      </c>
      <c r="F2" s="6" t="s">
        <v>9</v>
      </c>
    </row>
    <row r="3" ht="22.5" customHeight="1">
      <c r="A3" s="3">
        <v>46099.39186130787</v>
      </c>
      <c r="B3" s="4">
        <v>46098.0</v>
      </c>
      <c r="C3" s="6" t="s">
        <v>10</v>
      </c>
      <c r="D3" s="6" t="s">
        <v>11</v>
      </c>
      <c r="E3" s="6" t="s">
        <v>12</v>
      </c>
      <c r="F3" s="6" t="s">
        <v>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9.0"/>
    <col customWidth="1" min="3" max="3" width="28.63"/>
    <col customWidth="1" min="4" max="4" width="20.63"/>
    <col customWidth="1" min="5" max="5" width="25.25"/>
    <col customWidth="1" min="6" max="6" width="20.75"/>
    <col customWidth="1" min="7" max="7" width="27.38"/>
    <col customWidth="1" min="8" max="8" width="20.63"/>
    <col customWidth="1" min="9" max="9" width="27.25"/>
    <col customWidth="1" min="10" max="10" width="21.0"/>
  </cols>
  <sheetData>
    <row r="1" ht="22.5" customHeight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</row>
    <row r="2" ht="22.5" customHeight="1">
      <c r="A2" s="8" t="s">
        <v>24</v>
      </c>
      <c r="B2" s="9">
        <f>SUMPRODUCT(
  (((ISNUMBER(SEARCH(A2,Respuestas!$C$2:$C$1001)))+(ISNUMBER(SEARCH(A2,Respuestas!$E$2:$E$1001))))&gt;0)*
  (Respuestas!$B$2:$B$1001&gt;=Config!$B$2)*
  (Respuestas!$B$2:$B$1001&lt;=Config!$B$3)
)</f>
        <v>1</v>
      </c>
      <c r="C2" s="9">
        <f>COUNTIFS(Respuestas!$B$2:$B$1001,"&gt;="&amp;Config!$B$2,Respuestas!$B$2:$B$1001,"&lt;="&amp;Config!$B$3)</f>
        <v>2</v>
      </c>
      <c r="D2" s="9">
        <f t="shared" ref="D2:D24" si="1">C2-B2</f>
        <v>1</v>
      </c>
      <c r="E2" s="9">
        <f>B2*IFERROR(VLOOKUP(A2,Jugadores!$A:$B,2,0),0)</f>
        <v>0</v>
      </c>
      <c r="F2" s="9">
        <f>IF(IFERROR(VLOOKUP(A2,Jugadores!$A:$C,3,0),"NO")="SI",B2,0)</f>
        <v>0</v>
      </c>
      <c r="G2" s="9">
        <f>F2*Config!$B$4</f>
        <v>0</v>
      </c>
      <c r="H2" s="9">
        <f>IF(IFERROR(VLOOKUP(A2,Jugadores!$A:$D,4,0),"NO")="SI",B2,0)</f>
        <v>0</v>
      </c>
      <c r="I2" s="9">
        <f>H2*IFERROR(VLOOKUP(A2,Jugadores!$A:$E,5,0),0)</f>
        <v>0</v>
      </c>
      <c r="J2" s="9">
        <f t="shared" ref="J2:J24" si="2">G2+I2</f>
        <v>0</v>
      </c>
    </row>
    <row r="3" ht="22.5" customHeight="1">
      <c r="A3" s="8" t="s">
        <v>25</v>
      </c>
      <c r="B3" s="9">
        <f>SUMPRODUCT(
  (((ISNUMBER(SEARCH(A3,Respuestas!$C$2:$C$1001)))+(ISNUMBER(SEARCH(A3,Respuestas!$E$2:$E$1001))))&gt;0)*
  (Respuestas!$B$2:$B$1001&gt;=Config!$B$2)*
  (Respuestas!$B$2:$B$1001&lt;=Config!$B$3)
)</f>
        <v>1</v>
      </c>
      <c r="C3" s="9">
        <f>COUNTIFS(Respuestas!$B$2:$B$1001,"&gt;="&amp;Config!$B$2,Respuestas!$B$2:$B$1001,"&lt;="&amp;Config!$B$3)</f>
        <v>2</v>
      </c>
      <c r="D3" s="9">
        <f t="shared" si="1"/>
        <v>1</v>
      </c>
      <c r="E3" s="9">
        <f>B3*IFERROR(VLOOKUP(A3,Jugadores!$A:$B,2,0),0)</f>
        <v>11</v>
      </c>
      <c r="F3" s="9">
        <f>IF(IFERROR(VLOOKUP(A3,Jugadores!$A:$C,3,0),"NO")="SI",B3,0)</f>
        <v>0</v>
      </c>
      <c r="G3" s="9">
        <f>F3*Config!$B$4</f>
        <v>0</v>
      </c>
      <c r="H3" s="9">
        <f>IF(IFERROR(VLOOKUP(A3,Jugadores!$A:$D,4,0),"NO")="SI",B3,0)</f>
        <v>0</v>
      </c>
      <c r="I3" s="9">
        <f>H3*IFERROR(VLOOKUP(A3,Jugadores!$A:$E,5,0),0)</f>
        <v>0</v>
      </c>
      <c r="J3" s="9">
        <f t="shared" si="2"/>
        <v>0</v>
      </c>
    </row>
    <row r="4" ht="22.5" customHeight="1">
      <c r="A4" s="8" t="s">
        <v>26</v>
      </c>
      <c r="B4" s="9">
        <f>SUMPRODUCT(
  (((ISNUMBER(SEARCH(A4,Respuestas!$C$2:$C$1001)))+(ISNUMBER(SEARCH(A4,Respuestas!$E$2:$E$1001))))&gt;0)*
  (Respuestas!$B$2:$B$1001&gt;=Config!$B$2)*
  (Respuestas!$B$2:$B$1001&lt;=Config!$B$3)
)</f>
        <v>0</v>
      </c>
      <c r="C4" s="9">
        <f>COUNTIFS(Respuestas!$B$2:$B$1001,"&gt;="&amp;Config!$B$2,Respuestas!$B$2:$B$1001,"&lt;="&amp;Config!$B$3)</f>
        <v>2</v>
      </c>
      <c r="D4" s="9">
        <f t="shared" si="1"/>
        <v>2</v>
      </c>
      <c r="E4" s="9">
        <f>B4*IFERROR(VLOOKUP(A4,Jugadores!$A:$B,2,0),0)</f>
        <v>0</v>
      </c>
      <c r="F4" s="9">
        <f>IF(IFERROR(VLOOKUP(A4,Jugadores!$A:$C,3,0),"NO")="SI",B4,0)</f>
        <v>0</v>
      </c>
      <c r="G4" s="9">
        <f>F4*Config!$B$4</f>
        <v>0</v>
      </c>
      <c r="H4" s="9">
        <f>IF(IFERROR(VLOOKUP(A4,Jugadores!$A:$D,4,0),"NO")="SI",B4,0)</f>
        <v>0</v>
      </c>
      <c r="I4" s="9">
        <f>H4*IFERROR(VLOOKUP(A4,Jugadores!$A:$E,5,0),0)</f>
        <v>0</v>
      </c>
      <c r="J4" s="9">
        <f t="shared" si="2"/>
        <v>0</v>
      </c>
    </row>
    <row r="5" ht="22.5" customHeight="1">
      <c r="A5" s="8" t="s">
        <v>27</v>
      </c>
      <c r="B5" s="9">
        <f>SUMPRODUCT(
  (((ISNUMBER(SEARCH(A5,Respuestas!$C$2:$C$1001)))+(ISNUMBER(SEARCH(A5,Respuestas!$E$2:$E$1001))))&gt;0)*
  (Respuestas!$B$2:$B$1001&gt;=Config!$B$2)*
  (Respuestas!$B$2:$B$1001&lt;=Config!$B$3)
)</f>
        <v>1</v>
      </c>
      <c r="C5" s="9">
        <f>COUNTIFS(Respuestas!$B$2:$B$1001,"&gt;="&amp;Config!$B$2,Respuestas!$B$2:$B$1001,"&lt;="&amp;Config!$B$3)</f>
        <v>2</v>
      </c>
      <c r="D5" s="9">
        <f t="shared" si="1"/>
        <v>1</v>
      </c>
      <c r="E5" s="9">
        <f>B5*IFERROR(VLOOKUP(A5,Jugadores!$A:$B,2,0),0)</f>
        <v>0</v>
      </c>
      <c r="F5" s="9">
        <f>IF(IFERROR(VLOOKUP(A5,Jugadores!$A:$C,3,0),"NO")="SI",B5,0)</f>
        <v>0</v>
      </c>
      <c r="G5" s="9">
        <f>F5*Config!$B$4</f>
        <v>0</v>
      </c>
      <c r="H5" s="9">
        <f>IF(IFERROR(VLOOKUP(A5,Jugadores!$A:$D,4,0),"NO")="SI",B5,0)</f>
        <v>0</v>
      </c>
      <c r="I5" s="9">
        <f>H5*IFERROR(VLOOKUP(A5,Jugadores!$A:$E,5,0),0)</f>
        <v>0</v>
      </c>
      <c r="J5" s="9">
        <f t="shared" si="2"/>
        <v>0</v>
      </c>
    </row>
    <row r="6" ht="22.5" customHeight="1">
      <c r="A6" s="8" t="s">
        <v>28</v>
      </c>
      <c r="B6" s="9">
        <f>SUMPRODUCT(
  (((ISNUMBER(SEARCH(A6,Respuestas!$C$2:$C$1001)))+(ISNUMBER(SEARCH(A6,Respuestas!$E$2:$E$1001))))&gt;0)*
  (Respuestas!$B$2:$B$1001&gt;=Config!$B$2)*
  (Respuestas!$B$2:$B$1001&lt;=Config!$B$3)
)</f>
        <v>1</v>
      </c>
      <c r="C6" s="9">
        <f>COUNTIFS(Respuestas!$B$2:$B$1001,"&gt;="&amp;Config!$B$2,Respuestas!$B$2:$B$1001,"&lt;="&amp;Config!$B$3)</f>
        <v>2</v>
      </c>
      <c r="D6" s="9">
        <f t="shared" si="1"/>
        <v>1</v>
      </c>
      <c r="E6" s="9">
        <f>B6*IFERROR(VLOOKUP(A6,Jugadores!$A:$B,2,0),0)</f>
        <v>0</v>
      </c>
      <c r="F6" s="9">
        <f>IF(IFERROR(VLOOKUP(A6,Jugadores!$A:$C,3,0),"NO")="SI",B6,0)</f>
        <v>0</v>
      </c>
      <c r="G6" s="9">
        <f>F6*Config!$B$4</f>
        <v>0</v>
      </c>
      <c r="H6" s="9">
        <f>IF(IFERROR(VLOOKUP(A6,Jugadores!$A:$D,4,0),"NO")="SI",B6,0)</f>
        <v>0</v>
      </c>
      <c r="I6" s="9">
        <f>H6*IFERROR(VLOOKUP(A6,Jugadores!$A:$E,5,0),0)</f>
        <v>0</v>
      </c>
      <c r="J6" s="9">
        <f t="shared" si="2"/>
        <v>0</v>
      </c>
    </row>
    <row r="7" ht="22.5" customHeight="1">
      <c r="A7" s="8" t="s">
        <v>29</v>
      </c>
      <c r="B7" s="9">
        <f>SUMPRODUCT(
  (((ISNUMBER(SEARCH(A7,Respuestas!$C$2:$C$1001)))+(ISNUMBER(SEARCH(A7,Respuestas!$E$2:$E$1001))))&gt;0)*
  (Respuestas!$B$2:$B$1001&gt;=Config!$B$2)*
  (Respuestas!$B$2:$B$1001&lt;=Config!$B$3)
)</f>
        <v>2</v>
      </c>
      <c r="C7" s="9">
        <f>COUNTIFS(Respuestas!$B$2:$B$1001,"&gt;="&amp;Config!$B$2,Respuestas!$B$2:$B$1001,"&lt;="&amp;Config!$B$3)</f>
        <v>2</v>
      </c>
      <c r="D7" s="9">
        <f t="shared" si="1"/>
        <v>0</v>
      </c>
      <c r="E7" s="9">
        <f>B7*IFERROR(VLOOKUP(A7,Jugadores!$A:$B,2,0),0)</f>
        <v>0</v>
      </c>
      <c r="F7" s="9">
        <f>IF(IFERROR(VLOOKUP(A7,Jugadores!$A:$C,3,0),"NO")="SI",B7,0)</f>
        <v>0</v>
      </c>
      <c r="G7" s="9">
        <f>F7*Config!$B$4</f>
        <v>0</v>
      </c>
      <c r="H7" s="9">
        <f>IF(IFERROR(VLOOKUP(A7,Jugadores!$A:$D,4,0),"NO")="SI",B7,0)</f>
        <v>0</v>
      </c>
      <c r="I7" s="9">
        <f>H7*IFERROR(VLOOKUP(A7,Jugadores!$A:$E,5,0),0)</f>
        <v>0</v>
      </c>
      <c r="J7" s="9">
        <f t="shared" si="2"/>
        <v>0</v>
      </c>
    </row>
    <row r="8" ht="22.5" customHeight="1">
      <c r="A8" s="8" t="s">
        <v>30</v>
      </c>
      <c r="B8" s="9">
        <f>SUMPRODUCT(
  (((ISNUMBER(SEARCH(A8,Respuestas!$C$2:$C$1001)))+(ISNUMBER(SEARCH(A8,Respuestas!$E$2:$E$1001))))&gt;0)*
  (Respuestas!$B$2:$B$1001&gt;=Config!$B$2)*
  (Respuestas!$B$2:$B$1001&lt;=Config!$B$3)
)</f>
        <v>1</v>
      </c>
      <c r="C8" s="9">
        <f>COUNTIFS(Respuestas!$B$2:$B$1001,"&gt;="&amp;Config!$B$2,Respuestas!$B$2:$B$1001,"&lt;="&amp;Config!$B$3)</f>
        <v>2</v>
      </c>
      <c r="D8" s="9">
        <f t="shared" si="1"/>
        <v>1</v>
      </c>
      <c r="E8" s="9">
        <f>B8*IFERROR(VLOOKUP(A8,Jugadores!$A:$B,2,0),0)</f>
        <v>0</v>
      </c>
      <c r="F8" s="9">
        <f>IF(IFERROR(VLOOKUP(A8,Jugadores!$A:$C,3,0),"NO")="SI",B8,0)</f>
        <v>0</v>
      </c>
      <c r="G8" s="9">
        <f>F8*Config!$B$4</f>
        <v>0</v>
      </c>
      <c r="H8" s="9">
        <f>IF(IFERROR(VLOOKUP(A8,Jugadores!$A:$D,4,0),"NO")="SI",B8,0)</f>
        <v>1</v>
      </c>
      <c r="I8" s="9">
        <f>H8*IFERROR(VLOOKUP(A8,Jugadores!$A:$E,5,0),0)</f>
        <v>62000</v>
      </c>
      <c r="J8" s="9">
        <f t="shared" si="2"/>
        <v>62000</v>
      </c>
    </row>
    <row r="9" ht="22.5" customHeight="1">
      <c r="A9" s="8" t="s">
        <v>31</v>
      </c>
      <c r="B9" s="9">
        <f>SUMPRODUCT(
  (((ISNUMBER(SEARCH(A9,Respuestas!$C$2:$C$1001)))+(ISNUMBER(SEARCH(A9,Respuestas!$E$2:$E$1001))))&gt;0)*
  (Respuestas!$B$2:$B$1001&gt;=Config!$B$2)*
  (Respuestas!$B$2:$B$1001&lt;=Config!$B$3)
)</f>
        <v>2</v>
      </c>
      <c r="C9" s="9">
        <f>COUNTIFS(Respuestas!$B$2:$B$1001,"&gt;="&amp;Config!$B$2,Respuestas!$B$2:$B$1001,"&lt;="&amp;Config!$B$3)</f>
        <v>2</v>
      </c>
      <c r="D9" s="9">
        <f t="shared" si="1"/>
        <v>0</v>
      </c>
      <c r="E9" s="9">
        <f>B9*IFERROR(VLOOKUP(A9,Jugadores!$A:$B,2,0),0)</f>
        <v>0</v>
      </c>
      <c r="F9" s="9">
        <f>IF(IFERROR(VLOOKUP(A9,Jugadores!$A:$C,3,0),"NO")="SI",B9*2,0)</f>
        <v>4</v>
      </c>
      <c r="G9" s="9">
        <f>F9*Config!$B$4</f>
        <v>28000</v>
      </c>
      <c r="H9" s="9">
        <f>IF(IFERROR(VLOOKUP(A9,Jugadores!$A:$D,4,0),"NO")="SI",B9,0)</f>
        <v>0</v>
      </c>
      <c r="I9" s="9">
        <f>H9*IFERROR(VLOOKUP(A9,Jugadores!$A:$E,5,0),0)</f>
        <v>0</v>
      </c>
      <c r="J9" s="9">
        <f t="shared" si="2"/>
        <v>28000</v>
      </c>
    </row>
    <row r="10" ht="22.5" customHeight="1">
      <c r="A10" s="8" t="s">
        <v>32</v>
      </c>
      <c r="B10" s="9">
        <f>SUMPRODUCT(
  (((ISNUMBER(SEARCH(A10,Respuestas!$C$2:$C$1001)))+(ISNUMBER(SEARCH(A10,Respuestas!$E$2:$E$1001))))&gt;0)*
  (Respuestas!$B$2:$B$1001&gt;=Config!$B$2)*
  (Respuestas!$B$2:$B$1001&lt;=Config!$B$3)
)</f>
        <v>1</v>
      </c>
      <c r="C10" s="9">
        <f>COUNTIFS(Respuestas!$B$2:$B$1001,"&gt;="&amp;Config!$B$2,Respuestas!$B$2:$B$1001,"&lt;="&amp;Config!$B$3)</f>
        <v>2</v>
      </c>
      <c r="D10" s="9">
        <f t="shared" si="1"/>
        <v>1</v>
      </c>
      <c r="E10" s="9">
        <f>B10*IFERROR(VLOOKUP(A10,Jugadores!$A:$B,2,0),0)</f>
        <v>0</v>
      </c>
      <c r="F10" s="9">
        <f>IF(IFERROR(VLOOKUP(A10,Jugadores!$A:$C,3,0),"NO")="SI",B10,0)</f>
        <v>0</v>
      </c>
      <c r="G10" s="9">
        <f>F10*Config!$B$4</f>
        <v>0</v>
      </c>
      <c r="H10" s="9">
        <f>IF(IFERROR(VLOOKUP(A10,Jugadores!$A:$D,4,0),"NO")="SI",B10,0)</f>
        <v>0</v>
      </c>
      <c r="I10" s="9">
        <f>H10*IFERROR(VLOOKUP(A10,Jugadores!$A:$E,5,0),0)</f>
        <v>0</v>
      </c>
      <c r="J10" s="9">
        <f t="shared" si="2"/>
        <v>0</v>
      </c>
    </row>
    <row r="11" ht="22.5" customHeight="1">
      <c r="A11" s="8" t="s">
        <v>33</v>
      </c>
      <c r="B11" s="9">
        <f>SUMPRODUCT(
  (((ISNUMBER(SEARCH(A11,Respuestas!$C$2:$C$1001)))+(ISNUMBER(SEARCH(A11,Respuestas!$E$2:$E$1001))))&gt;0)*
  (Respuestas!$B$2:$B$1001&gt;=Config!$B$2)*
  (Respuestas!$B$2:$B$1001&lt;=Config!$B$3)
)</f>
        <v>1</v>
      </c>
      <c r="C11" s="9">
        <f>COUNTIFS(Respuestas!$B$2:$B$1001,"&gt;="&amp;Config!$B$2,Respuestas!$B$2:$B$1001,"&lt;="&amp;Config!$B$3)</f>
        <v>2</v>
      </c>
      <c r="D11" s="9">
        <f t="shared" si="1"/>
        <v>1</v>
      </c>
      <c r="E11" s="9">
        <f>B11*IFERROR(VLOOKUP(A11,Jugadores!$A:$B,2,0),0)</f>
        <v>0</v>
      </c>
      <c r="F11" s="9">
        <f>IF(IFERROR(VLOOKUP(A11,Jugadores!$A:$C,3,0),"NO")="SI",B11,0)</f>
        <v>0</v>
      </c>
      <c r="G11" s="9">
        <f>F11*Config!$B$4</f>
        <v>0</v>
      </c>
      <c r="H11" s="9">
        <f>IF(IFERROR(VLOOKUP(A11,Jugadores!$A:$D,4,0),"NO")="SI",B11,0)</f>
        <v>0</v>
      </c>
      <c r="I11" s="9">
        <f>H11*IFERROR(VLOOKUP(A11,Jugadores!$A:$E,5,0),0)</f>
        <v>0</v>
      </c>
      <c r="J11" s="9">
        <f t="shared" si="2"/>
        <v>0</v>
      </c>
    </row>
    <row r="12" ht="22.5" customHeight="1">
      <c r="A12" s="8" t="s">
        <v>34</v>
      </c>
      <c r="B12" s="9">
        <f>SUMPRODUCT(
  (((ISNUMBER(SEARCH(A12,Respuestas!$C$2:$C$1001)))+(ISNUMBER(SEARCH(A12,Respuestas!$E$2:$E$1001))))&gt;0)*
  (Respuestas!$B$2:$B$1001&gt;=Config!$B$2)*
  (Respuestas!$B$2:$B$1001&lt;=Config!$B$3)
)</f>
        <v>0</v>
      </c>
      <c r="C12" s="9">
        <f>COUNTIFS(Respuestas!$B$2:$B$1001,"&gt;="&amp;Config!$B$2,Respuestas!$B$2:$B$1001,"&lt;="&amp;Config!$B$3)</f>
        <v>2</v>
      </c>
      <c r="D12" s="9">
        <f t="shared" si="1"/>
        <v>2</v>
      </c>
      <c r="E12" s="9">
        <f>B12*IFERROR(VLOOKUP(A12,Jugadores!$A:$B,2,0),0)</f>
        <v>0</v>
      </c>
      <c r="F12" s="9">
        <f>IF(IFERROR(VLOOKUP(A12,Jugadores!$A:$C,3,0),"NO")="SI",B12,0)</f>
        <v>0</v>
      </c>
      <c r="G12" s="9">
        <f>F12*Config!$B$4</f>
        <v>0</v>
      </c>
      <c r="H12" s="9">
        <f>IF(IFERROR(VLOOKUP(A12,Jugadores!$A:$D,4,0),"NO")="SI",B12,0)</f>
        <v>0</v>
      </c>
      <c r="I12" s="9">
        <f>H12*IFERROR(VLOOKUP(A12,Jugadores!$A:$E,5,0),0)</f>
        <v>0</v>
      </c>
      <c r="J12" s="9">
        <f t="shared" si="2"/>
        <v>0</v>
      </c>
    </row>
    <row r="13" ht="22.5" customHeight="1">
      <c r="A13" s="8" t="s">
        <v>35</v>
      </c>
      <c r="B13" s="9">
        <f>SUMPRODUCT(
  (((ISNUMBER(SEARCH(A13,Respuestas!$C$2:$C$1001)))+(ISNUMBER(SEARCH(A13,Respuestas!$E$2:$E$1001))))&gt;0)*
  (Respuestas!$B$2:$B$1001&gt;=Config!$B$2)*
  (Respuestas!$B$2:$B$1001&lt;=Config!$B$3)
)</f>
        <v>1</v>
      </c>
      <c r="C13" s="9">
        <f>COUNTIFS(Respuestas!$B$2:$B$1001,"&gt;="&amp;Config!$B$2,Respuestas!$B$2:$B$1001,"&lt;="&amp;Config!$B$3)</f>
        <v>2</v>
      </c>
      <c r="D13" s="9">
        <f t="shared" si="1"/>
        <v>1</v>
      </c>
      <c r="E13" s="9">
        <f>B13*IFERROR(VLOOKUP(A13,Jugadores!$A:$B,2,0),0)</f>
        <v>8</v>
      </c>
      <c r="F13" s="9">
        <f>IF(IFERROR(VLOOKUP(A13,Jugadores!$A:$C,3,0),"NO")="SI",B13,0)</f>
        <v>0</v>
      </c>
      <c r="G13" s="9">
        <f>F13*Config!$B$4</f>
        <v>0</v>
      </c>
      <c r="H13" s="9">
        <f>IF(IFERROR(VLOOKUP(A13,Jugadores!$A:$D,4,0),"NO")="SI",B13,0)</f>
        <v>0</v>
      </c>
      <c r="I13" s="9">
        <f>H13*IFERROR(VLOOKUP(A13,Jugadores!$A:$E,5,0),0)</f>
        <v>0</v>
      </c>
      <c r="J13" s="9">
        <f t="shared" si="2"/>
        <v>0</v>
      </c>
    </row>
    <row r="14" ht="22.5" customHeight="1">
      <c r="A14" s="8" t="s">
        <v>36</v>
      </c>
      <c r="B14" s="9">
        <f>SUMPRODUCT(
  (((ISNUMBER(SEARCH(A14,Respuestas!$C$2:$C$1001)))+(ISNUMBER(SEARCH(A14,Respuestas!$E$2:$E$1001))))&gt;0)*
  (Respuestas!$B$2:$B$1001&gt;=Config!$B$2)*
  (Respuestas!$B$2:$B$1001&lt;=Config!$B$3)
)</f>
        <v>2</v>
      </c>
      <c r="C14" s="9">
        <f>COUNTIFS(Respuestas!$B$2:$B$1001,"&gt;="&amp;Config!$B$2,Respuestas!$B$2:$B$1001,"&lt;="&amp;Config!$B$3)</f>
        <v>2</v>
      </c>
      <c r="D14" s="9">
        <f t="shared" si="1"/>
        <v>0</v>
      </c>
      <c r="E14" s="9">
        <f>B14*IFERROR(VLOOKUP(A14,Jugadores!$A:$B,2,0),0)</f>
        <v>0</v>
      </c>
      <c r="F14" s="9">
        <f>IF(IFERROR(VLOOKUP(A14,Jugadores!$A:$C,3,0),"NO")="SI",B14*2,0)</f>
        <v>4</v>
      </c>
      <c r="G14" s="9">
        <f>F14*Config!$B$4</f>
        <v>28000</v>
      </c>
      <c r="H14" s="9">
        <f>IF(IFERROR(VLOOKUP(A14,Jugadores!$A:$D,4,0),"NO")="SI",B14,0)</f>
        <v>0</v>
      </c>
      <c r="I14" s="9">
        <f>H14*IFERROR(VLOOKUP(A14,Jugadores!$A:$E,5,0),0)</f>
        <v>0</v>
      </c>
      <c r="J14" s="9">
        <f t="shared" si="2"/>
        <v>28000</v>
      </c>
    </row>
    <row r="15" ht="22.5" customHeight="1">
      <c r="A15" s="8" t="s">
        <v>37</v>
      </c>
      <c r="B15" s="9">
        <f>SUMPRODUCT(
  (((ISNUMBER(SEARCH(A15,Respuestas!$C$2:$C$1001)))+(ISNUMBER(SEARCH(A15,Respuestas!$E$2:$E$1001))))&gt;0)*
  (Respuestas!$B$2:$B$1001&gt;=Config!$B$2)*
  (Respuestas!$B$2:$B$1001&lt;=Config!$B$3)
)</f>
        <v>1</v>
      </c>
      <c r="C15" s="9">
        <f>COUNTIFS(Respuestas!$B$2:$B$1001,"&gt;="&amp;Config!$B$2,Respuestas!$B$2:$B$1001,"&lt;="&amp;Config!$B$3)</f>
        <v>2</v>
      </c>
      <c r="D15" s="9">
        <f t="shared" si="1"/>
        <v>1</v>
      </c>
      <c r="E15" s="9">
        <f>B15*IFERROR(VLOOKUP(A15,Jugadores!$A:$B,2,0),0)</f>
        <v>0</v>
      </c>
      <c r="F15" s="9">
        <f>IF(IFERROR(VLOOKUP(A15,Jugadores!$A:$C,3,0),"NO")="SI",B15,0)</f>
        <v>0</v>
      </c>
      <c r="G15" s="9">
        <f>F15*Config!$B$4</f>
        <v>0</v>
      </c>
      <c r="H15" s="9">
        <f>IF(IFERROR(VLOOKUP(A15,Jugadores!$A:$D,4,0),"NO")="SI",B15,0)</f>
        <v>0</v>
      </c>
      <c r="I15" s="9">
        <f>H15*IFERROR(VLOOKUP(A15,Jugadores!$A:$E,5,0),0)</f>
        <v>0</v>
      </c>
      <c r="J15" s="9">
        <f t="shared" si="2"/>
        <v>0</v>
      </c>
    </row>
    <row r="16" ht="22.5" customHeight="1">
      <c r="A16" s="8" t="s">
        <v>38</v>
      </c>
      <c r="B16" s="9">
        <f>SUMPRODUCT(
  (((ISNUMBER(SEARCH(A16,Respuestas!$C$2:$C$1001)))+(ISNUMBER(SEARCH(A16,Respuestas!$E$2:$E$1001))))&gt;0)*
  (Respuestas!$B$2:$B$1001&gt;=Config!$B$2)*
  (Respuestas!$B$2:$B$1001&lt;=Config!$B$3)
)</f>
        <v>1</v>
      </c>
      <c r="C16" s="9">
        <f>COUNTIFS(Respuestas!$B$2:$B$1001,"&gt;="&amp;Config!$B$2,Respuestas!$B$2:$B$1001,"&lt;="&amp;Config!$B$3)</f>
        <v>2</v>
      </c>
      <c r="D16" s="9">
        <f t="shared" si="1"/>
        <v>1</v>
      </c>
      <c r="E16" s="9">
        <f>B16*IFERROR(VLOOKUP(A16,Jugadores!$A:$B,2,0),0)</f>
        <v>3</v>
      </c>
      <c r="F16" s="9">
        <f>IF(IFERROR(VLOOKUP(A16,Jugadores!$A:$C,3,0),"NO")="SI",B16,0)</f>
        <v>0</v>
      </c>
      <c r="G16" s="9">
        <f>F16*Config!$B$4</f>
        <v>0</v>
      </c>
      <c r="H16" s="9">
        <f>IF(IFERROR(VLOOKUP(A16,Jugadores!$A:$D,4,0),"NO")="SI",B16,0)</f>
        <v>0</v>
      </c>
      <c r="I16" s="9">
        <f>H16*IFERROR(VLOOKUP(A16,Jugadores!$A:$E,5,0),0)</f>
        <v>0</v>
      </c>
      <c r="J16" s="9">
        <f t="shared" si="2"/>
        <v>0</v>
      </c>
    </row>
    <row r="17" ht="22.5" customHeight="1">
      <c r="A17" s="8" t="s">
        <v>39</v>
      </c>
      <c r="B17" s="9">
        <f>SUMPRODUCT(
  (((ISNUMBER(SEARCH(A17,Respuestas!$C$2:$C$1001)))+(ISNUMBER(SEARCH(A17,Respuestas!$E$2:$E$1001))))&gt;0)*
  (Respuestas!$B$2:$B$1001&gt;=Config!$B$2)*
  (Respuestas!$B$2:$B$1001&lt;=Config!$B$3)
)</f>
        <v>1</v>
      </c>
      <c r="C17" s="9">
        <f>COUNTIFS(Respuestas!$B$2:$B$1001,"&gt;="&amp;Config!$B$2,Respuestas!$B$2:$B$1001,"&lt;="&amp;Config!$B$3)</f>
        <v>2</v>
      </c>
      <c r="D17" s="9">
        <f t="shared" si="1"/>
        <v>1</v>
      </c>
      <c r="E17" s="9">
        <f>B17*IFERROR(VLOOKUP(A17,Jugadores!$A:$B,2,0),0)</f>
        <v>0</v>
      </c>
      <c r="F17" s="9">
        <f>IF(IFERROR(VLOOKUP(A17,Jugadores!$A:$C,3,0),"NO")="SI",B17,0)</f>
        <v>0</v>
      </c>
      <c r="G17" s="9">
        <f>F17*Config!$B$4</f>
        <v>0</v>
      </c>
      <c r="H17" s="9">
        <f>IF(IFERROR(VLOOKUP(A17,Jugadores!$A:$D,4,0),"NO")="SI",B17,0)</f>
        <v>0</v>
      </c>
      <c r="I17" s="9">
        <f>H17*IFERROR(VLOOKUP(A17,Jugadores!$A:$E,5,0),0)</f>
        <v>0</v>
      </c>
      <c r="J17" s="9">
        <f t="shared" si="2"/>
        <v>0</v>
      </c>
    </row>
    <row r="18" ht="22.5" customHeight="1">
      <c r="A18" s="8" t="s">
        <v>40</v>
      </c>
      <c r="B18" s="9">
        <f>SUMPRODUCT(
  (((ISNUMBER(SEARCH(A18,Respuestas!$C$2:$C$1001)))+(ISNUMBER(SEARCH(A18,Respuestas!$E$2:$E$1001))))&gt;0)*
  (Respuestas!$B$2:$B$1001&gt;=Config!$B$2)*
  (Respuestas!$B$2:$B$1001&lt;=Config!$B$3)
)</f>
        <v>2</v>
      </c>
      <c r="C18" s="9">
        <f>COUNTIFS(Respuestas!$B$2:$B$1001,"&gt;="&amp;Config!$B$2,Respuestas!$B$2:$B$1001,"&lt;="&amp;Config!$B$3)</f>
        <v>2</v>
      </c>
      <c r="D18" s="9">
        <f t="shared" si="1"/>
        <v>0</v>
      </c>
      <c r="E18" s="9">
        <f>B18*IFERROR(VLOOKUP(A18,Jugadores!$A:$B,2,0),0)</f>
        <v>0</v>
      </c>
      <c r="F18" s="9">
        <f>IF(IFERROR(VLOOKUP(A18,Jugadores!$A:$C,3,0),"NO")="SI",B18,0)</f>
        <v>0</v>
      </c>
      <c r="G18" s="9">
        <f>F18*Config!$B$4</f>
        <v>0</v>
      </c>
      <c r="H18" s="9">
        <f>IF(IFERROR(VLOOKUP(A18,Jugadores!$A:$D,4,0),"NO")="SI",B18,0)</f>
        <v>0</v>
      </c>
      <c r="I18" s="9">
        <f>H18*IFERROR(VLOOKUP(A18,Jugadores!$A:$E,5,0),0)</f>
        <v>0</v>
      </c>
      <c r="J18" s="9">
        <f t="shared" si="2"/>
        <v>0</v>
      </c>
    </row>
    <row r="19" ht="22.5" customHeight="1">
      <c r="A19" s="8" t="s">
        <v>41</v>
      </c>
      <c r="B19" s="9">
        <f>SUMPRODUCT(
  (((ISNUMBER(SEARCH(A19,Respuestas!$C$2:$C$1001)))+(ISNUMBER(SEARCH(A19,Respuestas!$E$2:$E$1001))))&gt;0)*
  (Respuestas!$B$2:$B$1001&gt;=Config!$B$2)*
  (Respuestas!$B$2:$B$1001&lt;=Config!$B$3)
)</f>
        <v>2</v>
      </c>
      <c r="C19" s="9">
        <f>COUNTIFS(Respuestas!$B$2:$B$1001,"&gt;="&amp;Config!$B$2,Respuestas!$B$2:$B$1001,"&lt;="&amp;Config!$B$3)</f>
        <v>2</v>
      </c>
      <c r="D19" s="9">
        <f t="shared" si="1"/>
        <v>0</v>
      </c>
      <c r="E19" s="9">
        <f>B19*IFERROR(VLOOKUP(A19,Jugadores!$A:$B,2,0),0)</f>
        <v>0</v>
      </c>
      <c r="F19" s="9">
        <f>IF(IFERROR(VLOOKUP(A19,Jugadores!$A:$C,3,0),"NO")="SI",B19,0)</f>
        <v>0</v>
      </c>
      <c r="G19" s="9">
        <f>F19*Config!$B$4</f>
        <v>0</v>
      </c>
      <c r="H19" s="9">
        <f>IF(IFERROR(VLOOKUP(A19,Jugadores!$A:$D,4,0),"NO")="SI",B19,0)</f>
        <v>0</v>
      </c>
      <c r="I19" s="9">
        <f>H19*IFERROR(VLOOKUP(A19,Jugadores!$A:$E,5,0),0)</f>
        <v>0</v>
      </c>
      <c r="J19" s="9">
        <f t="shared" si="2"/>
        <v>0</v>
      </c>
    </row>
    <row r="20" ht="22.5" customHeight="1">
      <c r="A20" s="8" t="s">
        <v>42</v>
      </c>
      <c r="B20" s="9">
        <f>SUMPRODUCT(
  (((ISNUMBER(SEARCH(A20,Respuestas!$C$2:$C$1001)))+(ISNUMBER(SEARCH(A20,Respuestas!$E$2:$E$1001))))&gt;0)*
  (Respuestas!$B$2:$B$1001&gt;=Config!$B$2)*
  (Respuestas!$B$2:$B$1001&lt;=Config!$B$3)
)</f>
        <v>2</v>
      </c>
      <c r="C20" s="9">
        <f>COUNTIFS(Respuestas!$B$2:$B$1001,"&gt;="&amp;Config!$B$2,Respuestas!$B$2:$B$1001,"&lt;="&amp;Config!$B$3)</f>
        <v>2</v>
      </c>
      <c r="D20" s="9">
        <f t="shared" si="1"/>
        <v>0</v>
      </c>
      <c r="E20" s="9">
        <f>B20*IFERROR(VLOOKUP(A20,Jugadores!$A:$B,2,0),0)</f>
        <v>0</v>
      </c>
      <c r="F20" s="9">
        <f>IF(IFERROR(VLOOKUP(A20,Jugadores!$A:$C,3,0),"NO")="SI",B20,0)</f>
        <v>0</v>
      </c>
      <c r="G20" s="9">
        <f>F20*Config!$B$4</f>
        <v>0</v>
      </c>
      <c r="H20" s="9">
        <f>IF(IFERROR(VLOOKUP(A20,Jugadores!$A:$D,4,0),"NO")="SI",B20,0)</f>
        <v>0</v>
      </c>
      <c r="I20" s="9">
        <f>H20*IFERROR(VLOOKUP(A20,Jugadores!$A:$E,5,0),0)</f>
        <v>0</v>
      </c>
      <c r="J20" s="9">
        <f t="shared" si="2"/>
        <v>0</v>
      </c>
    </row>
    <row r="21" ht="22.5" customHeight="1">
      <c r="A21" s="8" t="s">
        <v>43</v>
      </c>
      <c r="B21" s="9">
        <f>SUMPRODUCT(
  (((ISNUMBER(SEARCH(A21,Respuestas!$C$2:$C$1001)))+(ISNUMBER(SEARCH(A21,Respuestas!$E$2:$E$1001))))&gt;0)*
  (Respuestas!$B$2:$B$1001&gt;=Config!$B$2)*
  (Respuestas!$B$2:$B$1001&lt;=Config!$B$3)
)</f>
        <v>2</v>
      </c>
      <c r="C21" s="9">
        <f>COUNTIFS(Respuestas!$B$2:$B$1001,"&gt;="&amp;Config!$B$2,Respuestas!$B$2:$B$1001,"&lt;="&amp;Config!$B$3)</f>
        <v>2</v>
      </c>
      <c r="D21" s="9">
        <f t="shared" si="1"/>
        <v>0</v>
      </c>
      <c r="E21" s="9">
        <f>B21*IFERROR(VLOOKUP(A21,Jugadores!$A:$B,2,0),0)</f>
        <v>0</v>
      </c>
      <c r="F21" s="9">
        <f>IF(IFERROR(VLOOKUP(A21,Jugadores!$A:$C,3,0),"NO")="SI",B21,0)</f>
        <v>0</v>
      </c>
      <c r="G21" s="9">
        <f>F21*Config!$B$4</f>
        <v>0</v>
      </c>
      <c r="H21" s="9">
        <f>IF(IFERROR(VLOOKUP(A21,Jugadores!$A:$D,4,0),"NO")="SI",B21,0)</f>
        <v>0</v>
      </c>
      <c r="I21" s="9">
        <f>H21*IFERROR(VLOOKUP(A21,Jugadores!$A:$E,5,0),0)</f>
        <v>0</v>
      </c>
      <c r="J21" s="9">
        <f t="shared" si="2"/>
        <v>0</v>
      </c>
    </row>
    <row r="22" ht="22.5" customHeight="1">
      <c r="A22" s="8" t="s">
        <v>44</v>
      </c>
      <c r="B22" s="9">
        <f>SUMPRODUCT(
  (((ISNUMBER(SEARCH(A22,Respuestas!$C$2:$C$1001)))+(ISNUMBER(SEARCH(A22,Respuestas!$E$2:$E$1001))))&gt;0)*
  (Respuestas!$B$2:$B$1001&gt;=Config!$B$2)*
  (Respuestas!$B$2:$B$1001&lt;=Config!$B$3)
)</f>
        <v>2</v>
      </c>
      <c r="C22" s="9">
        <f>COUNTIFS(Respuestas!$B$2:$B$1001,"&gt;="&amp;Config!$B$2,Respuestas!$B$2:$B$1001,"&lt;="&amp;Config!$B$3)</f>
        <v>2</v>
      </c>
      <c r="D22" s="9">
        <f t="shared" si="1"/>
        <v>0</v>
      </c>
      <c r="E22" s="9">
        <f>B22*IFERROR(VLOOKUP(A22,Jugadores!$A:$B,2,0),0)</f>
        <v>0</v>
      </c>
      <c r="F22" s="9">
        <f>IF(IFERROR(VLOOKUP(A22,Jugadores!$A:$C,3,0),"NO")="SI",B22,0)</f>
        <v>0</v>
      </c>
      <c r="G22" s="9">
        <f>F22*Config!$B$4</f>
        <v>0</v>
      </c>
      <c r="H22" s="9">
        <f>IF(IFERROR(VLOOKUP(A22,Jugadores!$A:$D,4,0),"NO")="SI",B22,0)</f>
        <v>0</v>
      </c>
      <c r="I22" s="9">
        <f>H22*IFERROR(VLOOKUP(A22,Jugadores!$A:$E,5,0),0)</f>
        <v>0</v>
      </c>
      <c r="J22" s="9">
        <f t="shared" si="2"/>
        <v>0</v>
      </c>
    </row>
    <row r="23" ht="22.5" customHeight="1">
      <c r="A23" s="8" t="s">
        <v>45</v>
      </c>
      <c r="B23" s="9">
        <f>SUMPRODUCT(
  (((ISNUMBER(SEARCH(A23,Respuestas!$C$2:$C$1001)))+(ISNUMBER(SEARCH(A23,Respuestas!$E$2:$E$1001))))&gt;0)*
  (Respuestas!$B$2:$B$1001&gt;=Config!$B$2)*
  (Respuestas!$B$2:$B$1001&lt;=Config!$B$3)
)</f>
        <v>0</v>
      </c>
      <c r="C23" s="9">
        <f>COUNTIFS(Respuestas!$B$2:$B$1001,"&gt;="&amp;Config!$B$2,Respuestas!$B$2:$B$1001,"&lt;="&amp;Config!$B$3)</f>
        <v>2</v>
      </c>
      <c r="D23" s="9">
        <f t="shared" si="1"/>
        <v>2</v>
      </c>
      <c r="E23" s="9">
        <f>B23*IFERROR(VLOOKUP(A23,Jugadores!$A:$B,2,0),0)</f>
        <v>0</v>
      </c>
      <c r="F23" s="9">
        <f>IF(IFERROR(VLOOKUP(A23,Jugadores!$A:$C,3,0),"NO")="SI",B23,0)</f>
        <v>0</v>
      </c>
      <c r="G23" s="9">
        <f>F23*Config!$B$4</f>
        <v>0</v>
      </c>
      <c r="H23" s="9">
        <f>IF(IFERROR(VLOOKUP(A23,Jugadores!$A:$D,4,0),"NO")="SI",B23,0)</f>
        <v>0</v>
      </c>
      <c r="I23" s="9">
        <f>H23*IFERROR(VLOOKUP(A23,Jugadores!$A:$E,5,0),0)</f>
        <v>0</v>
      </c>
      <c r="J23" s="9">
        <f t="shared" si="2"/>
        <v>0</v>
      </c>
    </row>
    <row r="24" ht="22.5" customHeight="1">
      <c r="A24" s="8" t="s">
        <v>46</v>
      </c>
      <c r="B24" s="9">
        <f>SUMPRODUCT(
  (((ISNUMBER(SEARCH(A24,Respuestas!$C$2:$C$1001)))+(ISNUMBER(SEARCH(A24,Respuestas!$E$2:$E$1001))))&gt;0)*
  (Respuestas!$B$2:$B$1001&gt;=Config!$B$2)*
  (Respuestas!$B$2:$B$1001&lt;=Config!$B$3)
)</f>
        <v>2</v>
      </c>
      <c r="C24" s="9">
        <f>COUNTIFS(Respuestas!$B$2:$B$1001,"&gt;="&amp;Config!$B$2,Respuestas!$B$2:$B$1001,"&lt;="&amp;Config!$B$3)</f>
        <v>2</v>
      </c>
      <c r="D24" s="9">
        <f t="shared" si="1"/>
        <v>0</v>
      </c>
      <c r="E24" s="9">
        <f>B24*IFERROR(VLOOKUP(A24,Jugadores!$A:$B,2,0),0)</f>
        <v>0</v>
      </c>
      <c r="F24" s="9">
        <f>IF(IFERROR(VLOOKUP(A24,Jugadores!$A:$C,3,0),"NO")="SI",B24,0)</f>
        <v>0</v>
      </c>
      <c r="G24" s="9">
        <f>F24*Config!$B$4</f>
        <v>0</v>
      </c>
      <c r="H24" s="9">
        <f>IF(IFERROR(VLOOKUP(A24,Jugadores!$A:$D,4,0),"NO")="SI",B24,0)</f>
        <v>0</v>
      </c>
      <c r="I24" s="9">
        <f>H24*IFERROR(VLOOKUP(A24,Jugadores!$A:$E,5,0),0)</f>
        <v>0</v>
      </c>
      <c r="J24" s="9">
        <f t="shared" si="2"/>
        <v>0</v>
      </c>
    </row>
    <row r="25" ht="22.5" customHeight="1">
      <c r="A25" s="8" t="s">
        <v>47</v>
      </c>
      <c r="B25" s="9">
        <f t="shared" ref="B25:J25" si="3">B9</f>
        <v>2</v>
      </c>
      <c r="C25" s="9">
        <f t="shared" si="3"/>
        <v>2</v>
      </c>
      <c r="D25" s="9">
        <f t="shared" si="3"/>
        <v>0</v>
      </c>
      <c r="E25" s="9">
        <f t="shared" si="3"/>
        <v>0</v>
      </c>
      <c r="F25" s="9">
        <f t="shared" si="3"/>
        <v>4</v>
      </c>
      <c r="G25" s="9">
        <f t="shared" si="3"/>
        <v>28000</v>
      </c>
      <c r="H25" s="9">
        <f t="shared" si="3"/>
        <v>0</v>
      </c>
      <c r="I25" s="9">
        <f t="shared" si="3"/>
        <v>0</v>
      </c>
      <c r="J25" s="9">
        <f t="shared" si="3"/>
        <v>28000</v>
      </c>
    </row>
  </sheetData>
  <dataValidations>
    <dataValidation type="custom" allowBlank="1" showDropDown="1" sqref="B2:J2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0" t="s">
        <v>48</v>
      </c>
      <c r="B1" s="11" t="s">
        <v>49</v>
      </c>
    </row>
    <row r="2">
      <c r="A2" s="10" t="s">
        <v>50</v>
      </c>
      <c r="B2" s="12">
        <f t="array" ref="B2">IF(B1="Año completo",DATE(YEAR(TODAY()),1,1),DATE(YEAR(TODAY()),MATCH(B1,{"Enero";"Febrero";"Marzo";"Abril";"Mayo";"Junio";"Julio";"Agosto";"Septiembre";"Octubre";"Noviembre";"Diciembre"},0),1))</f>
        <v>46082</v>
      </c>
    </row>
    <row r="3">
      <c r="A3" s="10" t="s">
        <v>51</v>
      </c>
      <c r="B3" s="13">
        <f>IF(B1="Año completo",DATE(YEAR(TODAY()),12,31),EOMONTH(B2,0))</f>
        <v>46112</v>
      </c>
    </row>
    <row r="4">
      <c r="A4" s="10" t="s">
        <v>52</v>
      </c>
      <c r="B4" s="10">
        <v>7000.0</v>
      </c>
    </row>
  </sheetData>
  <dataValidations>
    <dataValidation type="list" allowBlank="1" showErrorMessage="1" sqref="B1">
      <formula1>"Enero,Febrero,Marzo,Abril,Mayo,Junio,Julio,Agosto,Septiembre,Octubre,Noviembre,Diciembre,Año completo"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3.0"/>
    <col customWidth="1" min="4" max="4" width="13.0"/>
    <col customWidth="1" min="5" max="5" width="13.88"/>
    <col customWidth="1" min="6" max="6" width="13.38"/>
    <col customWidth="1" min="7" max="7" width="18.63"/>
  </cols>
  <sheetData>
    <row r="1" ht="22.5" customHeight="1">
      <c r="A1" s="7" t="s">
        <v>53</v>
      </c>
      <c r="B1" s="7" t="s">
        <v>54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</row>
    <row r="2" ht="22.5" customHeight="1">
      <c r="A2" s="4">
        <v>46097.0</v>
      </c>
      <c r="B2" s="6" t="s">
        <v>29</v>
      </c>
      <c r="C2" s="14" t="s">
        <v>60</v>
      </c>
      <c r="D2" s="15">
        <v>0.0</v>
      </c>
      <c r="E2" s="14" t="s">
        <v>61</v>
      </c>
      <c r="F2" s="14" t="s">
        <v>61</v>
      </c>
      <c r="G2" s="15">
        <v>0.0</v>
      </c>
    </row>
    <row r="3" ht="22.5" customHeight="1">
      <c r="A3" s="4">
        <v>46097.0</v>
      </c>
      <c r="B3" s="6" t="s">
        <v>31</v>
      </c>
      <c r="C3" s="14" t="s">
        <v>60</v>
      </c>
      <c r="D3" s="15">
        <v>0.0</v>
      </c>
      <c r="E3" s="14" t="s">
        <v>62</v>
      </c>
      <c r="F3" s="14" t="s">
        <v>61</v>
      </c>
      <c r="G3" s="15">
        <v>0.0</v>
      </c>
    </row>
    <row r="4" ht="22.5" customHeight="1">
      <c r="A4" s="4">
        <v>46097.0</v>
      </c>
      <c r="B4" s="6" t="s">
        <v>36</v>
      </c>
      <c r="C4" s="14" t="s">
        <v>60</v>
      </c>
      <c r="D4" s="15">
        <v>0.0</v>
      </c>
      <c r="E4" s="14" t="s">
        <v>62</v>
      </c>
      <c r="F4" s="14" t="s">
        <v>61</v>
      </c>
      <c r="G4" s="15">
        <v>0.0</v>
      </c>
    </row>
    <row r="5" ht="22.5" customHeight="1">
      <c r="A5" s="4">
        <v>46097.0</v>
      </c>
      <c r="B5" s="6" t="s">
        <v>40</v>
      </c>
      <c r="C5" s="14" t="s">
        <v>63</v>
      </c>
      <c r="D5" s="15">
        <v>0.0</v>
      </c>
      <c r="E5" s="14" t="s">
        <v>61</v>
      </c>
      <c r="F5" s="14" t="s">
        <v>61</v>
      </c>
      <c r="G5" s="15">
        <v>0.0</v>
      </c>
    </row>
    <row r="6" ht="22.5" customHeight="1">
      <c r="A6" s="4">
        <v>46097.0</v>
      </c>
      <c r="B6" s="6" t="s">
        <v>41</v>
      </c>
      <c r="C6" s="14" t="s">
        <v>63</v>
      </c>
      <c r="D6" s="15">
        <v>0.0</v>
      </c>
      <c r="E6" s="14" t="s">
        <v>61</v>
      </c>
      <c r="F6" s="14" t="s">
        <v>61</v>
      </c>
      <c r="G6" s="15">
        <v>0.0</v>
      </c>
    </row>
    <row r="7" ht="22.5" customHeight="1">
      <c r="A7" s="4">
        <v>46097.0</v>
      </c>
      <c r="B7" s="6" t="s">
        <v>42</v>
      </c>
      <c r="C7" s="14" t="s">
        <v>63</v>
      </c>
      <c r="D7" s="15">
        <v>0.0</v>
      </c>
      <c r="E7" s="14" t="s">
        <v>61</v>
      </c>
      <c r="F7" s="14" t="s">
        <v>61</v>
      </c>
      <c r="G7" s="15">
        <v>0.0</v>
      </c>
    </row>
    <row r="8" ht="22.5" customHeight="1">
      <c r="A8" s="4">
        <v>46097.0</v>
      </c>
      <c r="B8" s="6" t="s">
        <v>43</v>
      </c>
      <c r="C8" s="14" t="s">
        <v>63</v>
      </c>
      <c r="D8" s="15">
        <v>0.0</v>
      </c>
      <c r="E8" s="14" t="s">
        <v>61</v>
      </c>
      <c r="F8" s="14" t="s">
        <v>61</v>
      </c>
      <c r="G8" s="15">
        <v>0.0</v>
      </c>
    </row>
    <row r="9" ht="22.5" customHeight="1">
      <c r="A9" s="4">
        <v>46097.0</v>
      </c>
      <c r="B9" s="6" t="s">
        <v>44</v>
      </c>
      <c r="C9" s="14" t="s">
        <v>63</v>
      </c>
      <c r="D9" s="15">
        <v>0.0</v>
      </c>
      <c r="E9" s="14" t="s">
        <v>61</v>
      </c>
      <c r="F9" s="14" t="s">
        <v>61</v>
      </c>
      <c r="G9" s="15">
        <v>0.0</v>
      </c>
    </row>
    <row r="10" ht="22.5" customHeight="1">
      <c r="A10" s="4">
        <v>46097.0</v>
      </c>
      <c r="B10" s="6" t="s">
        <v>46</v>
      </c>
      <c r="C10" s="14" t="s">
        <v>63</v>
      </c>
      <c r="D10" s="15">
        <v>0.0</v>
      </c>
      <c r="E10" s="14" t="s">
        <v>61</v>
      </c>
      <c r="F10" s="14" t="s">
        <v>61</v>
      </c>
      <c r="G10" s="15">
        <v>0.0</v>
      </c>
    </row>
    <row r="11" ht="22.5" customHeight="1">
      <c r="A11" s="4">
        <v>46098.0</v>
      </c>
      <c r="B11" s="6" t="s">
        <v>24</v>
      </c>
      <c r="C11" s="14" t="s">
        <v>60</v>
      </c>
      <c r="D11" s="15">
        <v>0.0</v>
      </c>
      <c r="E11" s="14" t="s">
        <v>61</v>
      </c>
      <c r="F11" s="14" t="s">
        <v>61</v>
      </c>
      <c r="G11" s="15">
        <v>0.0</v>
      </c>
    </row>
    <row r="12" ht="22.5" customHeight="1">
      <c r="A12" s="4">
        <v>46098.0</v>
      </c>
      <c r="B12" s="6" t="s">
        <v>25</v>
      </c>
      <c r="C12" s="14" t="s">
        <v>60</v>
      </c>
      <c r="D12" s="15">
        <v>11.0</v>
      </c>
      <c r="E12" s="14" t="s">
        <v>61</v>
      </c>
      <c r="F12" s="14" t="s">
        <v>61</v>
      </c>
      <c r="G12" s="15">
        <v>0.0</v>
      </c>
    </row>
    <row r="13" ht="22.5" customHeight="1">
      <c r="A13" s="4">
        <v>46098.0</v>
      </c>
      <c r="B13" s="6" t="s">
        <v>27</v>
      </c>
      <c r="C13" s="14" t="s">
        <v>60</v>
      </c>
      <c r="D13" s="15">
        <v>0.0</v>
      </c>
      <c r="E13" s="14" t="s">
        <v>61</v>
      </c>
      <c r="F13" s="14" t="s">
        <v>61</v>
      </c>
      <c r="G13" s="15">
        <v>0.0</v>
      </c>
    </row>
    <row r="14" ht="22.5" customHeight="1">
      <c r="A14" s="4">
        <v>46098.0</v>
      </c>
      <c r="B14" s="6" t="s">
        <v>28</v>
      </c>
      <c r="C14" s="14" t="s">
        <v>60</v>
      </c>
      <c r="D14" s="15">
        <v>0.0</v>
      </c>
      <c r="E14" s="14" t="s">
        <v>61</v>
      </c>
      <c r="F14" s="14" t="s">
        <v>61</v>
      </c>
      <c r="G14" s="15">
        <v>0.0</v>
      </c>
    </row>
    <row r="15" ht="22.5" customHeight="1">
      <c r="A15" s="4">
        <v>46098.0</v>
      </c>
      <c r="B15" s="6" t="s">
        <v>29</v>
      </c>
      <c r="C15" s="14" t="s">
        <v>60</v>
      </c>
      <c r="D15" s="15">
        <v>0.0</v>
      </c>
      <c r="E15" s="14" t="s">
        <v>61</v>
      </c>
      <c r="F15" s="14" t="s">
        <v>61</v>
      </c>
      <c r="G15" s="15">
        <v>0.0</v>
      </c>
    </row>
    <row r="16" ht="22.5" customHeight="1">
      <c r="A16" s="4">
        <v>46098.0</v>
      </c>
      <c r="B16" s="6" t="s">
        <v>30</v>
      </c>
      <c r="C16" s="14" t="s">
        <v>60</v>
      </c>
      <c r="D16" s="15">
        <v>0.0</v>
      </c>
      <c r="E16" s="14" t="s">
        <v>61</v>
      </c>
      <c r="F16" s="14" t="s">
        <v>62</v>
      </c>
      <c r="G16" s="15">
        <v>62000.0</v>
      </c>
    </row>
    <row r="17" ht="22.5" customHeight="1">
      <c r="A17" s="4">
        <v>46098.0</v>
      </c>
      <c r="B17" s="6" t="s">
        <v>31</v>
      </c>
      <c r="C17" s="14" t="s">
        <v>60</v>
      </c>
      <c r="D17" s="15">
        <v>0.0</v>
      </c>
      <c r="E17" s="14" t="s">
        <v>62</v>
      </c>
      <c r="F17" s="14" t="s">
        <v>61</v>
      </c>
      <c r="G17" s="15">
        <v>0.0</v>
      </c>
    </row>
    <row r="18" ht="22.5" customHeight="1">
      <c r="A18" s="4">
        <v>46098.0</v>
      </c>
      <c r="B18" s="6" t="s">
        <v>32</v>
      </c>
      <c r="C18" s="14" t="s">
        <v>60</v>
      </c>
      <c r="D18" s="15">
        <v>0.0</v>
      </c>
      <c r="E18" s="14" t="s">
        <v>61</v>
      </c>
      <c r="F18" s="14" t="s">
        <v>61</v>
      </c>
      <c r="G18" s="15">
        <v>0.0</v>
      </c>
    </row>
    <row r="19" ht="22.5" customHeight="1">
      <c r="A19" s="4">
        <v>46098.0</v>
      </c>
      <c r="B19" s="6" t="s">
        <v>33</v>
      </c>
      <c r="C19" s="14" t="s">
        <v>60</v>
      </c>
      <c r="D19" s="15">
        <v>0.0</v>
      </c>
      <c r="E19" s="14" t="s">
        <v>61</v>
      </c>
      <c r="F19" s="14" t="s">
        <v>61</v>
      </c>
      <c r="G19" s="15">
        <v>0.0</v>
      </c>
    </row>
    <row r="20" ht="22.5" customHeight="1">
      <c r="A20" s="4">
        <v>46098.0</v>
      </c>
      <c r="B20" s="6" t="s">
        <v>35</v>
      </c>
      <c r="C20" s="14" t="s">
        <v>60</v>
      </c>
      <c r="D20" s="15">
        <v>8.0</v>
      </c>
      <c r="E20" s="14" t="s">
        <v>61</v>
      </c>
      <c r="F20" s="14" t="s">
        <v>61</v>
      </c>
      <c r="G20" s="15">
        <v>0.0</v>
      </c>
    </row>
    <row r="21" ht="22.5" customHeight="1">
      <c r="A21" s="4">
        <v>46098.0</v>
      </c>
      <c r="B21" s="6" t="s">
        <v>36</v>
      </c>
      <c r="C21" s="14" t="s">
        <v>60</v>
      </c>
      <c r="D21" s="15">
        <v>0.0</v>
      </c>
      <c r="E21" s="14" t="s">
        <v>62</v>
      </c>
      <c r="F21" s="14" t="s">
        <v>61</v>
      </c>
      <c r="G21" s="15">
        <v>0.0</v>
      </c>
    </row>
    <row r="22" ht="22.5" customHeight="1">
      <c r="A22" s="4">
        <v>46098.0</v>
      </c>
      <c r="B22" s="6" t="s">
        <v>37</v>
      </c>
      <c r="C22" s="14" t="s">
        <v>60</v>
      </c>
      <c r="D22" s="15">
        <v>0.0</v>
      </c>
      <c r="E22" s="14" t="s">
        <v>61</v>
      </c>
      <c r="F22" s="14" t="s">
        <v>61</v>
      </c>
      <c r="G22" s="15">
        <v>0.0</v>
      </c>
    </row>
    <row r="23" ht="22.5" customHeight="1">
      <c r="A23" s="4">
        <v>46098.0</v>
      </c>
      <c r="B23" s="6" t="s">
        <v>38</v>
      </c>
      <c r="C23" s="14" t="s">
        <v>60</v>
      </c>
      <c r="D23" s="15">
        <v>3.0</v>
      </c>
      <c r="E23" s="14" t="s">
        <v>61</v>
      </c>
      <c r="F23" s="14" t="s">
        <v>61</v>
      </c>
      <c r="G23" s="15">
        <v>0.0</v>
      </c>
    </row>
    <row r="24" ht="22.5" customHeight="1">
      <c r="A24" s="4">
        <v>46098.0</v>
      </c>
      <c r="B24" s="6" t="s">
        <v>39</v>
      </c>
      <c r="C24" s="14" t="s">
        <v>63</v>
      </c>
      <c r="D24" s="15">
        <v>0.0</v>
      </c>
      <c r="E24" s="14" t="s">
        <v>61</v>
      </c>
      <c r="F24" s="14" t="s">
        <v>61</v>
      </c>
      <c r="G24" s="15">
        <v>0.0</v>
      </c>
    </row>
    <row r="25" ht="22.5" customHeight="1">
      <c r="A25" s="4">
        <v>46098.0</v>
      </c>
      <c r="B25" s="6" t="s">
        <v>40</v>
      </c>
      <c r="C25" s="14" t="s">
        <v>63</v>
      </c>
      <c r="D25" s="15">
        <v>0.0</v>
      </c>
      <c r="E25" s="14" t="s">
        <v>61</v>
      </c>
      <c r="F25" s="14" t="s">
        <v>61</v>
      </c>
      <c r="G25" s="15">
        <v>0.0</v>
      </c>
    </row>
    <row r="26" ht="22.5" customHeight="1">
      <c r="A26" s="4">
        <v>46098.0</v>
      </c>
      <c r="B26" s="6" t="s">
        <v>41</v>
      </c>
      <c r="C26" s="14" t="s">
        <v>63</v>
      </c>
      <c r="D26" s="15">
        <v>0.0</v>
      </c>
      <c r="E26" s="14" t="s">
        <v>61</v>
      </c>
      <c r="F26" s="14" t="s">
        <v>61</v>
      </c>
      <c r="G26" s="15">
        <v>0.0</v>
      </c>
    </row>
    <row r="27" ht="22.5" customHeight="1">
      <c r="A27" s="4">
        <v>46098.0</v>
      </c>
      <c r="B27" s="6" t="s">
        <v>42</v>
      </c>
      <c r="C27" s="14" t="s">
        <v>63</v>
      </c>
      <c r="D27" s="15">
        <v>0.0</v>
      </c>
      <c r="E27" s="14" t="s">
        <v>61</v>
      </c>
      <c r="F27" s="14" t="s">
        <v>61</v>
      </c>
      <c r="G27" s="15">
        <v>0.0</v>
      </c>
    </row>
    <row r="28" ht="22.5" customHeight="1">
      <c r="A28" s="4">
        <v>46098.0</v>
      </c>
      <c r="B28" s="6" t="s">
        <v>43</v>
      </c>
      <c r="C28" s="14" t="s">
        <v>63</v>
      </c>
      <c r="D28" s="15">
        <v>0.0</v>
      </c>
      <c r="E28" s="14" t="s">
        <v>61</v>
      </c>
      <c r="F28" s="14" t="s">
        <v>61</v>
      </c>
      <c r="G28" s="15">
        <v>0.0</v>
      </c>
    </row>
    <row r="29" ht="22.5" customHeight="1">
      <c r="A29" s="4">
        <v>46098.0</v>
      </c>
      <c r="B29" s="6" t="s">
        <v>44</v>
      </c>
      <c r="C29" s="14" t="s">
        <v>63</v>
      </c>
      <c r="D29" s="15">
        <v>0.0</v>
      </c>
      <c r="E29" s="14" t="s">
        <v>61</v>
      </c>
      <c r="F29" s="14" t="s">
        <v>61</v>
      </c>
      <c r="G29" s="15">
        <v>0.0</v>
      </c>
    </row>
    <row r="30" ht="22.5" customHeight="1">
      <c r="A30" s="4">
        <v>46098.0</v>
      </c>
      <c r="B30" s="6" t="s">
        <v>46</v>
      </c>
      <c r="C30" s="14" t="s">
        <v>63</v>
      </c>
      <c r="D30" s="15">
        <v>0.0</v>
      </c>
      <c r="E30" s="14" t="s">
        <v>61</v>
      </c>
      <c r="F30" s="14" t="s">
        <v>61</v>
      </c>
      <c r="G30" s="15">
        <v>0.0</v>
      </c>
    </row>
  </sheetData>
  <dataValidations>
    <dataValidation type="list" allowBlank="1" showDropDown="1" showErrorMessage="1" sqref="C2:C30">
      <formula1>"Afuera,Local"</formula1>
    </dataValidation>
    <dataValidation type="list" allowBlank="1" showDropDown="1" showErrorMessage="1" sqref="E2:E30">
      <formula1>"NO,SI"</formula1>
    </dataValidation>
    <dataValidation type="custom" allowBlank="1" showDropDown="1" sqref="A2:A30">
      <formula1>OR(NOT(ISERROR(DATEVALUE(A2))), AND(ISNUMBER(A2), LEFT(CELL("format", A2))="D"))</formula1>
    </dataValidation>
    <dataValidation type="custom" allowBlank="1" showDropDown="1" sqref="D2:D30 G2:G30">
      <formula1>AND(ISNUMBER(D2),(NOT(OR(NOT(ISERROR(DATEVALUE(D2))), AND(ISNUMBER(D2), LEFT(CELL("format", D2))="D")))))</formula1>
    </dataValidation>
    <dataValidation type="list" allowBlank="1" showDropDown="1" showErrorMessage="1" sqref="F2:F30">
      <formula1>"NO,SI"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3.0"/>
    <col customWidth="1" min="3" max="3" width="26.38"/>
  </cols>
  <sheetData>
    <row r="1">
      <c r="A1" s="16" t="str">
        <f>IFERROR(__xludf.DUMMYFUNCTION("QUERY({Respuestas!B2:B501,Respuestas!C2:C501,Respuestas!E2:E501},""SELECT Col1, Col2, Col3 WHERE Col1 &gt;= date '""&amp;TEXT(Config!B2,""yyyy-mm-dd"")&amp;""' AND Col1 &lt;= date '""&amp;TEXT(Config!B3,""yyyy-mm-dd"")&amp;""' ORDER BY Col1 ASC"",1)"),"16/03/2026")</f>
        <v>16/03/2026</v>
      </c>
      <c r="B1" s="17" t="str">
        <f>IFERROR(__xludf.DUMMYFUNCTION("""COMPUTED_VALUE"""),"LAZANEO Juan Manuel, LENCINA Nicolas, SANCHEZ Hernan")</f>
        <v>LAZANEO Juan Manuel, LENCINA Nicolas, SANCHEZ Hernan</v>
      </c>
      <c r="C1" s="17" t="str">
        <f>IFERROR(__xludf.DUMMYFUNCTION("""COMPUTED_VALUE"""),"BERNAUS Agustin, GOMEZ Gustavo ""Chiqui"", FOSSARELLI Antonio, MENDOZA Alexis ""Pelado"", GOMEZ Juan Pablo ""Zorrito"", VIJARRA Nahuel")</f>
        <v>BERNAUS Agustin, GOMEZ Gustavo "Chiqui", FOSSARELLI Antonio, MENDOZA Alexis "Pelado", GOMEZ Juan Pablo "Zorrito", VIJARRA Nahuel</v>
      </c>
    </row>
    <row r="2">
      <c r="A2" s="13">
        <f>IFERROR(__xludf.DUMMYFUNCTION("""COMPUTED_VALUE"""),46098.0)</f>
        <v>46098</v>
      </c>
      <c r="B2" s="16" t="str">
        <f>IFERROR(__xludf.DUMMYFUNCTION("""COMPUTED_VALUE"""),"CARRANZA Matias, DEL VALLE Jonatan, LANDRIEL Alexis, LANDRIEL Federico, LAZANEO Juan Manuel, LECUIMA Esteban ""Kun"", LENCINA Nicolas, MANSILLA Alexis, MANSILLA Carlos, PAIRETTI Franco, SANCHEZ Hernan, VILLARUEL Dario ""Caco"", ÑAÑEZ Ruben")</f>
        <v>CARRANZA Matias, DEL VALLE Jonatan, LANDRIEL Alexis, LANDRIEL Federico, LAZANEO Juan Manuel, LECUIMA Esteban "Kun", LENCINA Nicolas, MANSILLA Alexis, MANSILLA Carlos, PAIRETTI Franco, SANCHEZ Hernan, VILLARUEL Dario "Caco", ÑAÑEZ Ruben</v>
      </c>
      <c r="C2" s="16" t="str">
        <f>IFERROR(__xludf.DUMMYFUNCTION("""COMPUTED_VALUE"""),"BERNAUS Federico, BERNAUS Agustin, GOMEZ Gustavo ""Chiqui"", FOSSARELLI Antonio, MENDOZA Alexis ""Pelado"", GOMEZ Juan Pablo ""Zorrito"", VIJARRA Nahuel")</f>
        <v>BERNAUS Federico, BERNAUS Agustin, GOMEZ Gustavo "Chiqui", FOSSARELLI Antonio, MENDOZA Alexis "Pelado", GOMEZ Juan Pablo "Zorrito", VIJARRA Nahuel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3.88"/>
    <col customWidth="1" min="4" max="4" width="13.38"/>
    <col customWidth="1" min="5" max="5" width="15.38"/>
  </cols>
  <sheetData>
    <row r="1" ht="22.5" customHeight="1">
      <c r="A1" s="7" t="s">
        <v>64</v>
      </c>
      <c r="B1" s="7" t="s">
        <v>65</v>
      </c>
      <c r="C1" s="7" t="s">
        <v>57</v>
      </c>
      <c r="D1" s="7" t="s">
        <v>58</v>
      </c>
      <c r="E1" s="7" t="s">
        <v>59</v>
      </c>
    </row>
    <row r="2" ht="22.5" customHeight="1">
      <c r="A2" s="8" t="s">
        <v>24</v>
      </c>
      <c r="C2" s="14" t="s">
        <v>61</v>
      </c>
      <c r="D2" s="14" t="s">
        <v>61</v>
      </c>
    </row>
    <row r="3" ht="22.5" customHeight="1">
      <c r="A3" s="8" t="s">
        <v>25</v>
      </c>
      <c r="B3" s="6">
        <v>11.0</v>
      </c>
      <c r="C3" s="14" t="s">
        <v>61</v>
      </c>
      <c r="D3" s="14" t="s">
        <v>61</v>
      </c>
    </row>
    <row r="4" ht="22.5" customHeight="1">
      <c r="A4" s="8" t="s">
        <v>26</v>
      </c>
      <c r="B4" s="6">
        <v>10.0</v>
      </c>
      <c r="C4" s="14" t="s">
        <v>61</v>
      </c>
      <c r="D4" s="14" t="s">
        <v>61</v>
      </c>
    </row>
    <row r="5" ht="22.5" customHeight="1">
      <c r="A5" s="8" t="s">
        <v>27</v>
      </c>
      <c r="C5" s="14" t="s">
        <v>61</v>
      </c>
      <c r="D5" s="14" t="s">
        <v>61</v>
      </c>
    </row>
    <row r="6" ht="22.5" customHeight="1">
      <c r="A6" s="8" t="s">
        <v>28</v>
      </c>
      <c r="C6" s="14" t="s">
        <v>61</v>
      </c>
      <c r="D6" s="14" t="s">
        <v>61</v>
      </c>
    </row>
    <row r="7" ht="22.5" customHeight="1">
      <c r="A7" s="8" t="s">
        <v>29</v>
      </c>
      <c r="C7" s="14" t="s">
        <v>61</v>
      </c>
      <c r="D7" s="14" t="s">
        <v>61</v>
      </c>
    </row>
    <row r="8" ht="22.5" customHeight="1">
      <c r="A8" s="8" t="s">
        <v>30</v>
      </c>
      <c r="C8" s="14" t="s">
        <v>61</v>
      </c>
      <c r="D8" s="14" t="s">
        <v>62</v>
      </c>
      <c r="E8" s="6">
        <v>62000.0</v>
      </c>
    </row>
    <row r="9" ht="22.5" customHeight="1">
      <c r="A9" s="8" t="s">
        <v>31</v>
      </c>
      <c r="C9" s="14" t="s">
        <v>62</v>
      </c>
      <c r="D9" s="14" t="s">
        <v>61</v>
      </c>
    </row>
    <row r="10" ht="22.5" customHeight="1">
      <c r="A10" s="8" t="s">
        <v>32</v>
      </c>
      <c r="C10" s="14" t="s">
        <v>61</v>
      </c>
      <c r="D10" s="14" t="s">
        <v>61</v>
      </c>
    </row>
    <row r="11" ht="22.5" customHeight="1">
      <c r="A11" s="8" t="s">
        <v>33</v>
      </c>
      <c r="C11" s="14" t="s">
        <v>61</v>
      </c>
      <c r="D11" s="14" t="s">
        <v>61</v>
      </c>
    </row>
    <row r="12" ht="22.5" customHeight="1">
      <c r="A12" s="8" t="s">
        <v>34</v>
      </c>
      <c r="C12" s="14" t="s">
        <v>61</v>
      </c>
      <c r="D12" s="14" t="s">
        <v>61</v>
      </c>
    </row>
    <row r="13" ht="22.5" customHeight="1">
      <c r="A13" s="8" t="s">
        <v>35</v>
      </c>
      <c r="B13" s="6">
        <v>8.0</v>
      </c>
      <c r="C13" s="14" t="s">
        <v>61</v>
      </c>
      <c r="D13" s="14" t="s">
        <v>61</v>
      </c>
    </row>
    <row r="14" ht="22.5" customHeight="1">
      <c r="A14" s="8" t="s">
        <v>36</v>
      </c>
      <c r="C14" s="14" t="s">
        <v>62</v>
      </c>
      <c r="D14" s="14" t="s">
        <v>61</v>
      </c>
    </row>
    <row r="15" ht="22.5" customHeight="1">
      <c r="A15" s="8" t="s">
        <v>37</v>
      </c>
      <c r="C15" s="14" t="s">
        <v>61</v>
      </c>
      <c r="D15" s="14" t="s">
        <v>61</v>
      </c>
    </row>
    <row r="16" ht="22.5" customHeight="1">
      <c r="A16" s="8" t="s">
        <v>38</v>
      </c>
      <c r="B16" s="6">
        <v>3.0</v>
      </c>
      <c r="C16" s="14" t="s">
        <v>61</v>
      </c>
      <c r="D16" s="14" t="s">
        <v>61</v>
      </c>
    </row>
    <row r="17" ht="22.5" customHeight="1">
      <c r="A17" s="8" t="s">
        <v>39</v>
      </c>
      <c r="C17" s="14" t="s">
        <v>61</v>
      </c>
      <c r="D17" s="14" t="s">
        <v>61</v>
      </c>
    </row>
    <row r="18" ht="22.5" customHeight="1">
      <c r="A18" s="8" t="s">
        <v>40</v>
      </c>
      <c r="C18" s="14" t="s">
        <v>61</v>
      </c>
      <c r="D18" s="14" t="s">
        <v>61</v>
      </c>
    </row>
    <row r="19" ht="22.5" customHeight="1">
      <c r="A19" s="8" t="s">
        <v>41</v>
      </c>
      <c r="C19" s="14" t="s">
        <v>61</v>
      </c>
      <c r="D19" s="14" t="s">
        <v>61</v>
      </c>
    </row>
    <row r="20" ht="22.5" customHeight="1">
      <c r="A20" s="8" t="s">
        <v>42</v>
      </c>
      <c r="C20" s="14" t="s">
        <v>61</v>
      </c>
      <c r="D20" s="14" t="s">
        <v>61</v>
      </c>
    </row>
    <row r="21" ht="22.5" customHeight="1">
      <c r="A21" s="8" t="s">
        <v>43</v>
      </c>
      <c r="C21" s="14" t="s">
        <v>61</v>
      </c>
      <c r="D21" s="14" t="s">
        <v>61</v>
      </c>
    </row>
    <row r="22" ht="22.5" customHeight="1">
      <c r="A22" s="8" t="s">
        <v>44</v>
      </c>
      <c r="C22" s="14" t="s">
        <v>61</v>
      </c>
      <c r="D22" s="14" t="s">
        <v>61</v>
      </c>
    </row>
    <row r="23" ht="22.5" customHeight="1">
      <c r="A23" s="8" t="s">
        <v>45</v>
      </c>
      <c r="C23" s="14" t="s">
        <v>61</v>
      </c>
      <c r="D23" s="14" t="s">
        <v>61</v>
      </c>
    </row>
    <row r="24" ht="22.5" customHeight="1">
      <c r="A24" s="8" t="s">
        <v>46</v>
      </c>
      <c r="C24" s="14" t="s">
        <v>61</v>
      </c>
      <c r="D24" s="14" t="s">
        <v>61</v>
      </c>
    </row>
    <row r="25" ht="22.5" customHeight="1">
      <c r="A25" s="8" t="s">
        <v>47</v>
      </c>
      <c r="C25" s="14" t="s">
        <v>62</v>
      </c>
      <c r="D25" s="14" t="s">
        <v>61</v>
      </c>
    </row>
    <row r="26">
      <c r="A26" s="18"/>
    </row>
  </sheetData>
  <dataValidations>
    <dataValidation type="list" allowBlank="1" showDropDown="1" showErrorMessage="1" sqref="C2:C25">
      <formula1>"NO,SI"</formula1>
    </dataValidation>
    <dataValidation type="list" allowBlank="1" showDropDown="1" showErrorMessage="1" sqref="D2:D25">
      <formula1>"NO,SI"</formula1>
    </dataValidation>
  </dataValidations>
  <drawing r:id="rId1"/>
  <tableParts count="1">
    <tablePart r:id="rId3"/>
  </tableParts>
</worksheet>
</file>