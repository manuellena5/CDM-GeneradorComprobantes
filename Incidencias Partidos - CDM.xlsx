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" sheetId="1" r:id="rId5"/>
    <sheet state="visible" name="Resumen" sheetId="2" r:id="rId6"/>
    <sheet state="visible" name="Jugadores_Contratos" sheetId="3" r:id="rId7"/>
    <sheet state="visible" name="Dashboard_Data" sheetId="4" r:id="rId8"/>
    <sheet state="visible" name="Config" sheetId="5" r:id="rId9"/>
  </sheets>
  <definedNames/>
  <calcPr/>
</workbook>
</file>

<file path=xl/sharedStrings.xml><?xml version="1.0" encoding="utf-8"?>
<sst xmlns="http://schemas.openxmlformats.org/spreadsheetml/2006/main" count="496" uniqueCount="156">
  <si>
    <t>Marca temporal</t>
  </si>
  <si>
    <t>Fecha del partido</t>
  </si>
  <si>
    <t>Rival</t>
  </si>
  <si>
    <t>Resultado</t>
  </si>
  <si>
    <t>Valla Invicta</t>
  </si>
  <si>
    <t>Participacion en el partido [Lecuima Esteban]</t>
  </si>
  <si>
    <t>Participacion en el partido [Gomez Gustavo]</t>
  </si>
  <si>
    <t>Participacion en el partido [Ñañez Ruben]</t>
  </si>
  <si>
    <t>Participacion en el partido [Fossarelli Antonio]</t>
  </si>
  <si>
    <t>Participacion en el partido [Del Valle Jonatan]</t>
  </si>
  <si>
    <t>Participacion en el partido [Sanchez Hernan]</t>
  </si>
  <si>
    <t>Participacion en el partido [Diaz Jonatan]</t>
  </si>
  <si>
    <t>Participacion en el partido [Nieto Fabio]</t>
  </si>
  <si>
    <t>Participacion en el partido [Lazaneo Juan Manuel]</t>
  </si>
  <si>
    <t>Participacion en el partido [Mendoza Alexis Alejandro]</t>
  </si>
  <si>
    <t>Participacion en el partido [Bernaus Agustin]</t>
  </si>
  <si>
    <t>Participacion en el partido [Landriel Federico]</t>
  </si>
  <si>
    <t>Participacion en el partido [Villarruel Daniel]</t>
  </si>
  <si>
    <t>Participacion en el partido [Pochettino Dante]</t>
  </si>
  <si>
    <t>Participacion en el partido [Gomez Juan Pablo]</t>
  </si>
  <si>
    <t>Participacion en el partido [Pairetti Franco]</t>
  </si>
  <si>
    <t>Participacion en el partido [Lencina Nicolas]</t>
  </si>
  <si>
    <t>Participacion en el partido [Vijarra Nahuel]</t>
  </si>
  <si>
    <t>Participacion en el partido [Bernaus Federico]</t>
  </si>
  <si>
    <t>Participacion en el partido [Carranza Matias]</t>
  </si>
  <si>
    <t>Goles [Lecuima Esteban]</t>
  </si>
  <si>
    <t>Goles [Gomez Gustavo]</t>
  </si>
  <si>
    <t>Goles [Ñañez Ruben]</t>
  </si>
  <si>
    <t>Goles [Fossarelli Antonio]</t>
  </si>
  <si>
    <t>Goles [Del Valle Jonatan]</t>
  </si>
  <si>
    <t>Goles [Sanchez Hernan]</t>
  </si>
  <si>
    <t>Goles [Diaz Jonatan]</t>
  </si>
  <si>
    <t>Goles [Nieto Fabio]</t>
  </si>
  <si>
    <t>Goles [Lazaneo Juan Manuel]</t>
  </si>
  <si>
    <t>Goles [Mendoza Alexis Alejandro]</t>
  </si>
  <si>
    <t>Goles [Bernaus Agustin]</t>
  </si>
  <si>
    <t>Goles [Landriel Federico]</t>
  </si>
  <si>
    <t>Goles [Villarruel Daniel]</t>
  </si>
  <si>
    <t>Goles [Pochettino Dante]</t>
  </si>
  <si>
    <t>Goles [Gomez Juan Pablo]</t>
  </si>
  <si>
    <t>Goles [Pairetti Franco]</t>
  </si>
  <si>
    <t>Goles [Lencina Nicolas]</t>
  </si>
  <si>
    <t>Goles [Vijarra Nahuel]</t>
  </si>
  <si>
    <t>Goles [Bernaus Federico]</t>
  </si>
  <si>
    <t>Goles [Carranza Matias]</t>
  </si>
  <si>
    <t>Observaciones</t>
  </si>
  <si>
    <t>Participacion en el partido [Lovera Ignacio]</t>
  </si>
  <si>
    <t>Goles [Lovera Ignacio]</t>
  </si>
  <si>
    <t>LA EMILIA</t>
  </si>
  <si>
    <t>EMPATE</t>
  </si>
  <si>
    <t>SI</t>
  </si>
  <si>
    <t>T, A</t>
  </si>
  <si>
    <t>T</t>
  </si>
  <si>
    <t>S</t>
  </si>
  <si>
    <t>S/con minutos</t>
  </si>
  <si>
    <t>SUSANENSE</t>
  </si>
  <si>
    <t>VICTORIA</t>
  </si>
  <si>
    <t>S, A</t>
  </si>
  <si>
    <t>1 gol</t>
  </si>
  <si>
    <t>GRANADEROS</t>
  </si>
  <si>
    <t>A</t>
  </si>
  <si>
    <t>2 goles</t>
  </si>
  <si>
    <t>Sánchez entro poco jajajaj</t>
  </si>
  <si>
    <t>Nombre</t>
  </si>
  <si>
    <t>Tipo de pago</t>
  </si>
  <si>
    <t>Partidos como Titular</t>
  </si>
  <si>
    <t>Partidos como Suplente</t>
  </si>
  <si>
    <t>Partidos como Suplente c/min</t>
  </si>
  <si>
    <t>Goles</t>
  </si>
  <si>
    <t>Valla Invicta (cant.)</t>
  </si>
  <si>
    <t>$ Titular</t>
  </si>
  <si>
    <t>$ Suplente</t>
  </si>
  <si>
    <t>$ Suplente c/min</t>
  </si>
  <si>
    <t>$ Goles</t>
  </si>
  <si>
    <t>$ Valla Invicta</t>
  </si>
  <si>
    <t>$ Acumulable</t>
  </si>
  <si>
    <t>Total a pagar</t>
  </si>
  <si>
    <t>Bernaus Agustin</t>
  </si>
  <si>
    <t>Ñañez Ruben</t>
  </si>
  <si>
    <t>Vijarra Nahuel</t>
  </si>
  <si>
    <t>Diaz Jonatan</t>
  </si>
  <si>
    <t>Nieto Fabio</t>
  </si>
  <si>
    <t>Tipo de pago (X Fecha / Mensual / Quincenal)</t>
  </si>
  <si>
    <t>Monto Titular</t>
  </si>
  <si>
    <t>Monto Suplente</t>
  </si>
  <si>
    <t>Monto Suplente c/min</t>
  </si>
  <si>
    <t>Premio Gol</t>
  </si>
  <si>
    <t>Premio Valla Invicta</t>
  </si>
  <si>
    <t>Monto Acumulable x partido</t>
  </si>
  <si>
    <t>Alias/cvu</t>
  </si>
  <si>
    <t>BERNAUS Agustin</t>
  </si>
  <si>
    <t>X Fecha</t>
  </si>
  <si>
    <t>Mamita96</t>
  </si>
  <si>
    <t>BERNAUS Federico</t>
  </si>
  <si>
    <t>federico.bernaus</t>
  </si>
  <si>
    <t>CARRANZA Matias</t>
  </si>
  <si>
    <t>maticarranza04</t>
  </si>
  <si>
    <t>Del Valle Jonatan</t>
  </si>
  <si>
    <t>Quincenal</t>
  </si>
  <si>
    <t>Quincenal o 2 partidos</t>
  </si>
  <si>
    <t>jonatandv7</t>
  </si>
  <si>
    <t>chancladiaz</t>
  </si>
  <si>
    <t>Fossarelli Adrian</t>
  </si>
  <si>
    <t>Mensual</t>
  </si>
  <si>
    <t>FOSSARELLI Antonio</t>
  </si>
  <si>
    <t>Gamarino Emiliano</t>
  </si>
  <si>
    <t>GOMEZ Gustavo</t>
  </si>
  <si>
    <t>chiky.mp10</t>
  </si>
  <si>
    <t>Gomez Juan Pablo</t>
  </si>
  <si>
    <t>4530000800016254782540</t>
  </si>
  <si>
    <t>Irazoqui Pablo</t>
  </si>
  <si>
    <t>LANDRIEL Federico</t>
  </si>
  <si>
    <t>fedelandriel.1805</t>
  </si>
  <si>
    <t>Lazaneo Juan Manuel</t>
  </si>
  <si>
    <t>Premio x gol a los 6 grandes</t>
  </si>
  <si>
    <t>Juan.manuel.lazaneo</t>
  </si>
  <si>
    <t>LECUIMA Esteban</t>
  </si>
  <si>
    <t>acumula 25k si clasificamos, luego 50k en cuartos</t>
  </si>
  <si>
    <t>esteban.132.roce.mp</t>
  </si>
  <si>
    <t>LENCINA Nicolas</t>
  </si>
  <si>
    <t>se descuenta 25 por partido hasta llegar a 400k</t>
  </si>
  <si>
    <t>nicolencina09</t>
  </si>
  <si>
    <t>Mendoza Alexis Alejandro</t>
  </si>
  <si>
    <t>0000003100085063320678</t>
  </si>
  <si>
    <t>cata.nieto.pro</t>
  </si>
  <si>
    <t>cacho.98</t>
  </si>
  <si>
    <t>PAIRETTI Franco</t>
  </si>
  <si>
    <t>eltirry007</t>
  </si>
  <si>
    <t>POCHETTINO Dante</t>
  </si>
  <si>
    <t>DANTE.POCHE23</t>
  </si>
  <si>
    <t>SANCHEZ Hernan</t>
  </si>
  <si>
    <t>500k por pretemporada en Marzo</t>
  </si>
  <si>
    <t>Hernan.sanchez2001</t>
  </si>
  <si>
    <t>nahuelcolo24</t>
  </si>
  <si>
    <t>VILLARRUEL Daniel</t>
  </si>
  <si>
    <t>Luego de 3 meses, 150k</t>
  </si>
  <si>
    <t>kakovillarruel</t>
  </si>
  <si>
    <t>Fecha</t>
  </si>
  <si>
    <t>Jugador</t>
  </si>
  <si>
    <t>Rol</t>
  </si>
  <si>
    <t>Lecuima Esteban</t>
  </si>
  <si>
    <t>Gomez Gustavo</t>
  </si>
  <si>
    <t>Fossarelli Antonio</t>
  </si>
  <si>
    <t>Sanchez Hernan</t>
  </si>
  <si>
    <t>Landriel Federico</t>
  </si>
  <si>
    <t>Villarruel Daniel</t>
  </si>
  <si>
    <t>Pochettino Dante</t>
  </si>
  <si>
    <t>Pairetti Franco</t>
  </si>
  <si>
    <t>Lencina Nicolas</t>
  </si>
  <si>
    <t>Bernaus Federico</t>
  </si>
  <si>
    <t>Carranza Matias</t>
  </si>
  <si>
    <t>Lovera Ignacio</t>
  </si>
  <si>
    <t>Mes</t>
  </si>
  <si>
    <t>Marzo</t>
  </si>
  <si>
    <t>Fecha inicio periodo</t>
  </si>
  <si>
    <t>Fecha fin periodo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</si>
</sst>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434343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1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Respuestas de formul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Jugadores_Contrato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V4" displayName="Form_Responses" name="Form_Responses" id="1">
  <tableColumns count="48">
    <tableColumn name="Marca temporal" id="1"/>
    <tableColumn name="Fecha del partido" id="2"/>
    <tableColumn name="Rival" id="3"/>
    <tableColumn name="Resultado" id="4"/>
    <tableColumn name="Valla Invicta" id="5"/>
    <tableColumn name="Participacion en el partido [Lecuima Esteban]" id="6"/>
    <tableColumn name="Participacion en el partido [Gomez Gustavo]" id="7"/>
    <tableColumn name="Participacion en el partido [Ñañez Ruben]" id="8"/>
    <tableColumn name="Participacion en el partido [Fossarelli Antonio]" id="9"/>
    <tableColumn name="Participacion en el partido [Del Valle Jonatan]" id="10"/>
    <tableColumn name="Participacion en el partido [Sanchez Hernan]" id="11"/>
    <tableColumn name="Participacion en el partido [Diaz Jonatan]" id="12"/>
    <tableColumn name="Participacion en el partido [Nieto Fabio]" id="13"/>
    <tableColumn name="Participacion en el partido [Lazaneo Juan Manuel]" id="14"/>
    <tableColumn name="Participacion en el partido [Mendoza Alexis Alejandro]" id="15"/>
    <tableColumn name="Participacion en el partido [Bernaus Agustin]" id="16"/>
    <tableColumn name="Participacion en el partido [Landriel Federico]" id="17"/>
    <tableColumn name="Participacion en el partido [Villarruel Daniel]" id="18"/>
    <tableColumn name="Participacion en el partido [Pochettino Dante]" id="19"/>
    <tableColumn name="Participacion en el partido [Gomez Juan Pablo]" id="20"/>
    <tableColumn name="Participacion en el partido [Pairetti Franco]" id="21"/>
    <tableColumn name="Participacion en el partido [Lencina Nicolas]" id="22"/>
    <tableColumn name="Participacion en el partido [Vijarra Nahuel]" id="23"/>
    <tableColumn name="Participacion en el partido [Bernaus Federico]" id="24"/>
    <tableColumn name="Participacion en el partido [Carranza Matias]" id="25"/>
    <tableColumn name="Goles [Lecuima Esteban]" id="26"/>
    <tableColumn name="Goles [Gomez Gustavo]" id="27"/>
    <tableColumn name="Goles [Ñañez Ruben]" id="28"/>
    <tableColumn name="Goles [Fossarelli Antonio]" id="29"/>
    <tableColumn name="Goles [Del Valle Jonatan]" id="30"/>
    <tableColumn name="Goles [Sanchez Hernan]" id="31"/>
    <tableColumn name="Goles [Diaz Jonatan]" id="32"/>
    <tableColumn name="Goles [Nieto Fabio]" id="33"/>
    <tableColumn name="Goles [Lazaneo Juan Manuel]" id="34"/>
    <tableColumn name="Goles [Mendoza Alexis Alejandro]" id="35"/>
    <tableColumn name="Goles [Bernaus Agustin]" id="36"/>
    <tableColumn name="Goles [Landriel Federico]" id="37"/>
    <tableColumn name="Goles [Villarruel Daniel]" id="38"/>
    <tableColumn name="Goles [Pochettino Dante]" id="39"/>
    <tableColumn name="Goles [Gomez Juan Pablo]" id="40"/>
    <tableColumn name="Goles [Pairetti Franco]" id="41"/>
    <tableColumn name="Goles [Lencina Nicolas]" id="42"/>
    <tableColumn name="Goles [Vijarra Nahuel]" id="43"/>
    <tableColumn name="Goles [Bernaus Federico]" id="44"/>
    <tableColumn name="Goles [Carranza Matias]" id="45"/>
    <tableColumn name="Observaciones" id="46"/>
    <tableColumn name="Participacion en el partido [Lovera Ignacio]" id="47"/>
    <tableColumn name="Goles [Lovera Ignacio]" id="48"/>
  </tableColumns>
  <tableStyleInfo name="Respuestas de formulario-style" showColumnStripes="0" showFirstColumn="1" showLastColumn="1" showRowStripes="1"/>
</table>
</file>

<file path=xl/tables/table2.xml><?xml version="1.0" encoding="utf-8"?>
<table xmlns="http://schemas.openxmlformats.org/spreadsheetml/2006/main" ref="A1:N21" displayName="Tabla_2" name="Tabla_2" id="2">
  <tableColumns count="14">
    <tableColumn name="Nombre" id="1"/>
    <tableColumn name="Tipo de pago" id="2"/>
    <tableColumn name="Partidos como Titular" id="3"/>
    <tableColumn name="Partidos como Suplente" id="4"/>
    <tableColumn name="Partidos como Suplente c/min" id="5"/>
    <tableColumn name="Goles" id="6"/>
    <tableColumn name="Valla Invicta (cant.)" id="7"/>
    <tableColumn name="$ Titular" id="8"/>
    <tableColumn name="$ Suplente" id="9"/>
    <tableColumn name="$ Suplente c/min" id="10"/>
    <tableColumn name="$ Goles" id="11"/>
    <tableColumn name="$ Valla Invicta" id="12"/>
    <tableColumn name="$ Acumulable" id="13"/>
    <tableColumn name="Total a pagar" id="14"/>
  </tableColumns>
  <tableStyleInfo name="Resumen-style" showColumnStripes="0" showFirstColumn="1" showLastColumn="1" showRowStripes="1"/>
</table>
</file>

<file path=xl/tables/table3.xml><?xml version="1.0" encoding="utf-8"?>
<table xmlns="http://schemas.openxmlformats.org/spreadsheetml/2006/main" ref="A1:J24" displayName="Tabla_1" name="Tabla_1" id="3">
  <tableColumns count="10">
    <tableColumn name="Nombre" id="1"/>
    <tableColumn name="Tipo de pago (X Fecha / Mensual / Quincenal)" id="2"/>
    <tableColumn name="Monto Titular" id="3"/>
    <tableColumn name="Monto Suplente" id="4"/>
    <tableColumn name="Monto Suplente c/min" id="5"/>
    <tableColumn name="Premio Gol" id="6"/>
    <tableColumn name="Premio Valla Invicta" id="7"/>
    <tableColumn name="Monto Acumulable x partido" id="8"/>
    <tableColumn name="Observaciones" id="9"/>
    <tableColumn name="Alias/cvu" id="10"/>
  </tableColumns>
  <tableStyleInfo name="Jugadores_Contr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8.88"/>
    <col customWidth="1" min="3" max="3" width="9.0"/>
    <col customWidth="1" min="4" max="4" width="12.88"/>
    <col customWidth="1" min="5" max="5" width="17.13"/>
    <col customWidth="1" min="6" max="6" width="39.0"/>
    <col customWidth="1" min="7" max="7" width="38.0"/>
    <col customWidth="1" min="8" max="8" width="36.0"/>
    <col customWidth="1" min="9" max="9" width="39.5"/>
    <col customWidth="1" min="10" max="10" width="39.13"/>
    <col customWidth="1" min="11" max="11" width="38.25"/>
    <col customWidth="1" min="12" max="12" width="35.88"/>
    <col customWidth="1" min="13" max="13" width="34.63"/>
    <col customWidth="1" min="14" max="14" width="42.5"/>
    <col customWidth="1" min="15" max="15" width="45.38"/>
    <col customWidth="1" min="16" max="16" width="38.38"/>
    <col customWidth="1" min="17" max="17" width="38.88"/>
    <col customWidth="1" min="18" max="18" width="37.75"/>
    <col customWidth="1" min="19" max="19" width="39.0"/>
    <col customWidth="1" min="20" max="20" width="40.13"/>
    <col customWidth="1" min="21" max="21" width="37.0"/>
    <col customWidth="1" min="22" max="22" width="38.0"/>
    <col customWidth="1" min="23" max="23" width="36.63"/>
    <col customWidth="1" min="24" max="24" width="39.13"/>
    <col customWidth="1" min="25" max="25" width="38.38"/>
    <col customWidth="1" min="26" max="26" width="23.75"/>
    <col customWidth="1" min="27" max="27" width="22.75"/>
    <col customWidth="1" min="28" max="28" width="20.88"/>
    <col customWidth="1" min="29" max="29" width="24.38"/>
    <col customWidth="1" min="30" max="30" width="23.88"/>
    <col customWidth="1" min="31" max="31" width="23.13"/>
    <col customWidth="1" min="32" max="32" width="20.75"/>
    <col customWidth="1" min="33" max="33" width="19.5"/>
    <col customWidth="1" min="34" max="34" width="27.25"/>
    <col customWidth="1" min="35" max="35" width="30.25"/>
    <col customWidth="1" min="36" max="36" width="23.25"/>
    <col customWidth="1" min="37" max="37" width="23.75"/>
    <col customWidth="1" min="38" max="38" width="22.63"/>
    <col customWidth="1" min="39" max="39" width="23.88"/>
    <col customWidth="1" min="40" max="40" width="25.0"/>
    <col customWidth="1" min="41" max="41" width="21.75"/>
    <col customWidth="1" min="42" max="42" width="22.88"/>
    <col customWidth="1" min="43" max="43" width="21.5"/>
    <col customWidth="1" min="44" max="44" width="24.0"/>
    <col customWidth="1" min="45" max="45" width="23.13"/>
    <col customWidth="1" min="46" max="46" width="16.5"/>
    <col customWidth="1" min="47" max="47" width="37.0"/>
    <col customWidth="1" min="48" max="48" width="21.88"/>
    <col customWidth="1" min="49" max="54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</row>
    <row r="2" ht="22.5" customHeight="1">
      <c r="A2" s="3">
        <v>46100.75049244213</v>
      </c>
      <c r="B2" s="4">
        <v>46096.0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52</v>
      </c>
      <c r="I2" s="5" t="s">
        <v>52</v>
      </c>
      <c r="J2" s="5" t="s">
        <v>52</v>
      </c>
      <c r="K2" s="5" t="s">
        <v>52</v>
      </c>
      <c r="L2" s="5" t="s">
        <v>52</v>
      </c>
      <c r="M2" s="5" t="s">
        <v>52</v>
      </c>
      <c r="N2" s="5" t="s">
        <v>52</v>
      </c>
      <c r="O2" s="5" t="s">
        <v>52</v>
      </c>
      <c r="P2" s="5" t="s">
        <v>52</v>
      </c>
      <c r="Q2" s="5" t="s">
        <v>53</v>
      </c>
      <c r="R2" s="5" t="s">
        <v>54</v>
      </c>
      <c r="S2" s="5" t="s">
        <v>54</v>
      </c>
      <c r="T2" s="5" t="s">
        <v>54</v>
      </c>
      <c r="U2" s="5" t="s">
        <v>53</v>
      </c>
      <c r="V2" s="5" t="s">
        <v>54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ht="22.5" customHeight="1">
      <c r="A3" s="7">
        <v>46100.77537828704</v>
      </c>
      <c r="B3" s="8">
        <v>46099.0</v>
      </c>
      <c r="C3" s="9" t="s">
        <v>55</v>
      </c>
      <c r="D3" s="9" t="s">
        <v>56</v>
      </c>
      <c r="E3" s="9" t="s">
        <v>50</v>
      </c>
      <c r="F3" s="9" t="s">
        <v>51</v>
      </c>
      <c r="G3" s="9" t="s">
        <v>52</v>
      </c>
      <c r="H3" s="9" t="s">
        <v>52</v>
      </c>
      <c r="I3" s="9" t="s">
        <v>52</v>
      </c>
      <c r="J3" s="9" t="s">
        <v>52</v>
      </c>
      <c r="L3" s="9" t="s">
        <v>52</v>
      </c>
      <c r="M3" s="9" t="s">
        <v>52</v>
      </c>
      <c r="N3" s="9" t="s">
        <v>52</v>
      </c>
      <c r="O3" s="9" t="s">
        <v>52</v>
      </c>
      <c r="P3" s="9" t="s">
        <v>52</v>
      </c>
      <c r="R3" s="9" t="s">
        <v>54</v>
      </c>
      <c r="S3" s="9" t="s">
        <v>54</v>
      </c>
      <c r="T3" s="9" t="s">
        <v>54</v>
      </c>
      <c r="V3" s="9" t="s">
        <v>52</v>
      </c>
      <c r="W3" s="9" t="s">
        <v>57</v>
      </c>
      <c r="X3" s="9" t="s">
        <v>54</v>
      </c>
      <c r="AF3" s="9" t="s">
        <v>58</v>
      </c>
    </row>
    <row r="4" ht="22.5" customHeight="1">
      <c r="A4" s="7">
        <v>46105.78768790509</v>
      </c>
      <c r="B4" s="8">
        <v>46105.0</v>
      </c>
      <c r="C4" s="9" t="s">
        <v>59</v>
      </c>
      <c r="D4" s="9" t="s">
        <v>56</v>
      </c>
      <c r="E4" s="9" t="s">
        <v>50</v>
      </c>
      <c r="F4" s="9" t="s">
        <v>52</v>
      </c>
      <c r="G4" s="9" t="s">
        <v>52</v>
      </c>
      <c r="H4" s="9" t="s">
        <v>52</v>
      </c>
      <c r="I4" s="9" t="s">
        <v>52</v>
      </c>
      <c r="J4" s="9" t="s">
        <v>52</v>
      </c>
      <c r="K4" s="9" t="s">
        <v>54</v>
      </c>
      <c r="L4" s="9" t="s">
        <v>52</v>
      </c>
      <c r="M4" s="9" t="s">
        <v>60</v>
      </c>
      <c r="N4" s="9" t="s">
        <v>52</v>
      </c>
      <c r="O4" s="9" t="s">
        <v>52</v>
      </c>
      <c r="P4" s="9" t="s">
        <v>52</v>
      </c>
      <c r="Q4" s="9" t="s">
        <v>60</v>
      </c>
      <c r="R4" s="9" t="s">
        <v>52</v>
      </c>
      <c r="S4" s="9" t="s">
        <v>54</v>
      </c>
      <c r="T4" s="9" t="s">
        <v>54</v>
      </c>
      <c r="U4" s="9" t="s">
        <v>52</v>
      </c>
      <c r="V4" s="9" t="s">
        <v>60</v>
      </c>
      <c r="W4" s="9" t="s">
        <v>53</v>
      </c>
      <c r="X4" s="9" t="s">
        <v>54</v>
      </c>
      <c r="Y4" s="9" t="s">
        <v>60</v>
      </c>
      <c r="AI4" s="9" t="s">
        <v>61</v>
      </c>
      <c r="AO4" s="9" t="s">
        <v>58</v>
      </c>
      <c r="AT4" s="9" t="s">
        <v>62</v>
      </c>
      <c r="AU4" s="9" t="s">
        <v>53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11.0"/>
    <col customWidth="1" min="3" max="3" width="12.0"/>
    <col customWidth="1" min="4" max="4" width="14.13"/>
    <col customWidth="1" min="5" max="5" width="13.13"/>
    <col customWidth="1" min="6" max="6" width="10.38"/>
    <col customWidth="1" min="7" max="7" width="19.75"/>
    <col customWidth="1" min="9" max="9" width="13.38"/>
    <col customWidth="1" min="10" max="10" width="18.13"/>
    <col customWidth="1" min="12" max="12" width="15.88"/>
    <col customWidth="1" min="13" max="13" width="15.63"/>
    <col customWidth="1" min="14" max="14" width="15.25"/>
  </cols>
  <sheetData>
    <row r="1" ht="22.5" customHeight="1">
      <c r="A1" s="10" t="s">
        <v>63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  <c r="G1" s="10" t="s">
        <v>69</v>
      </c>
      <c r="H1" s="10" t="s">
        <v>70</v>
      </c>
      <c r="I1" s="10" t="s">
        <v>71</v>
      </c>
      <c r="J1" s="10" t="s">
        <v>72</v>
      </c>
      <c r="K1" s="10" t="s">
        <v>73</v>
      </c>
      <c r="L1" s="10" t="s">
        <v>74</v>
      </c>
      <c r="M1" s="10" t="s">
        <v>75</v>
      </c>
      <c r="N1" s="10" t="s">
        <v>76</v>
      </c>
    </row>
    <row r="2" ht="22.5" customHeight="1">
      <c r="A2" s="11" t="str">
        <f>Jugadores_Contratos!A2</f>
        <v>BERNAUS Agustin</v>
      </c>
      <c r="B2" s="11" t="str">
        <f>IFERROR(VLOOKUP(A2,Jugadores_Contratos!$A:$B,2,0),"")</f>
        <v>X Fecha</v>
      </c>
      <c r="C2" s="11">
        <f>COUNTIFS(Dashboard_Data!$E$2:$E$1000,A2,Dashboard_Data!$F$2:$F$1000,"T",Dashboard_Data!$A$2:$A$1000,"&gt;="&amp;Config!$B$2,Dashboard_Data!$A$2:$A$1000,"&lt;="&amp;Config!$B$3)
+COUNTIFS(Dashboard_Data!$E$2:$E$1000,A2,Dashboard_Data!$F$2:$F$1000,"T, A",Dashboard_Data!$A$2:$A$1000,"&gt;="&amp;Config!$B$2,Dashboard_Data!$A$2:$A$1000,"&lt;="&amp;Config!$B$3)</f>
        <v>3</v>
      </c>
      <c r="D2" s="11">
        <f>COUNTIFS(Dashboard_Data!$E$2:$E$1000,A2,Dashboard_Data!$F$2:$F$1000,"S",Dashboard_Data!$A$2:$A$1000,"&gt;="&amp;Config!$B$2,Dashboard_Data!$A$2:$A$1000,"&lt;="&amp;Config!$B$3)+COUNTIFS(Dashboard_Data!$E$2:$E$1000,A2,Dashboard_Data!$F$2:$F$1000,"S, A",Dashboard_Data!$A$2:$A$1000,"&gt;="&amp;Config!$B$2,Dashboard_Data!$A$2:$A$1000,"&lt;="&amp;Config!$B$3)</f>
        <v>0</v>
      </c>
      <c r="E2" s="11">
        <f>COUNTIFS(Dashboard_Data!$E$2:$E$1000,A2,Dashboard_Data!$F$2:$F$1000,"S/con minutos",Dashboard_Data!$A$2:$A$1000,"&gt;="&amp;Config!$B$2,Dashboard_Data!$A$2:$A$1000,"&lt;="&amp;Config!$B$3) + COUNTIFS(Dashboard_Data!$E$2:$E$1000,A2,Dashboard_Data!$F$2:$F$1000,"S/con minutos, A",Dashboard_Data!$A$2:$A$1000,"&gt;="&amp;Config!$B$2,Dashboard_Data!$A$2:$A$1000,"&lt;="&amp;Config!$B$3)</f>
        <v>0</v>
      </c>
      <c r="F2" s="11">
        <f>SUMIFS(Dashboard_Data!$G$2:$G$1000,Dashboard_Data!$E$2:$E$1000,A2,Dashboard_Data!$A$2:$A$1000,"&gt;="&amp;Config!$B$2,Dashboard_Data!$A$2:$A$1000,"&lt;="&amp;Config!$B$3)</f>
        <v>0</v>
      </c>
      <c r="G2" s="9">
        <f>COUNTIFS(Dashboard_Data!$E$2:$E$1000,A2,Dashboard_Data!$D$2:$D$1000,"SI",Dashboard_Data!$F$2:$F$1000,"T, A",Dashboard_Data!$A$2:$A$1000,"&gt;="&amp;Config!$B$2,Dashboard_Data!$A$2:$A$1000,"&lt;="&amp;Config!$B$3)+ +COUNTIFS(Dashboard_Data!$E$2:$E$1000,A2,Dashboard_Data!$D$2:$D$1000,"SI",Dashboard_Data!$F$2:$F$1000,"S/con minutos, A",Dashboard_Data!$A$2:$A$1000,"&gt;="&amp;Config!$B$2,Dashboard_Data!$A$2:$A$1000,"&lt;="&amp;Config!$B$3)</f>
        <v>0</v>
      </c>
      <c r="H2" s="11">
        <f>C2*IFERROR(VLOOKUP(A2,Jugadores_Contratos!$A:$C,3,0),0)</f>
        <v>210000</v>
      </c>
      <c r="I2" s="11">
        <f>D2*IFERROR(VLOOKUP(A2,Jugadores_Contratos!$A:$D,4,0),0)</f>
        <v>0</v>
      </c>
      <c r="J2" s="11">
        <f>E2*IFERROR(VLOOKUP(A2,Jugadores_Contratos!$A:$E,5,0),0)</f>
        <v>0</v>
      </c>
      <c r="K2" s="11">
        <f>F2*IFERROR(VLOOKUP(A2,Jugadores_Contratos!$A:$F,6,0),0)</f>
        <v>0</v>
      </c>
      <c r="L2" s="11">
        <f>G2*IFERROR(VLOOKUP(A2,Jugadores_Contratos!$A:$G,7,0),0)</f>
        <v>0</v>
      </c>
      <c r="M2" s="11">
        <f>(C2+D2+E2)*IFERROR(VLOOKUP(A2,Jugadores_Contratos!$A:$H,8,0),0)</f>
        <v>0</v>
      </c>
      <c r="N2" s="11">
        <f t="shared" ref="N2:N21" si="1">H2+I2+J2+K2+L2+M2</f>
        <v>210000</v>
      </c>
    </row>
    <row r="3" ht="22.5" customHeight="1">
      <c r="A3" s="11" t="str">
        <f>Jugadores_Contratos!A3</f>
        <v>BERNAUS Federico</v>
      </c>
      <c r="B3" s="11" t="str">
        <f>IFERROR(VLOOKUP(A3,Jugadores_Contratos!$A:$B,2,0),"")</f>
        <v>X Fecha</v>
      </c>
      <c r="C3" s="11">
        <f>COUNTIFS(Dashboard_Data!$E$2:$E$1000,A3,Dashboard_Data!$F$2:$F$1000,"T",Dashboard_Data!$A$2:$A$1000,"&gt;="&amp;Config!$B$2,Dashboard_Data!$A$2:$A$1000,"&lt;="&amp;Config!$B$3)
+COUNTIFS(Dashboard_Data!$E$2:$E$1000,A3,Dashboard_Data!$F$2:$F$1000,"T, A",Dashboard_Data!$A$2:$A$1000,"&gt;="&amp;Config!$B$2,Dashboard_Data!$A$2:$A$1000,"&lt;="&amp;Config!$B$3)</f>
        <v>0</v>
      </c>
      <c r="D3" s="11">
        <f>COUNTIFS(Dashboard_Data!$E$2:$E$1000,A3,Dashboard_Data!$F$2:$F$1000,"S",Dashboard_Data!$A$2:$A$1000,"&gt;="&amp;Config!$B$2,Dashboard_Data!$A$2:$A$1000,"&lt;="&amp;Config!$B$3)+COUNTIFS(Dashboard_Data!$E$2:$E$1000,A3,Dashboard_Data!$F$2:$F$1000,"S, A",Dashboard_Data!$A$2:$A$1000,"&gt;="&amp;Config!$B$2,Dashboard_Data!$A$2:$A$1000,"&lt;="&amp;Config!$B$3)</f>
        <v>0</v>
      </c>
      <c r="E3" s="11">
        <f>COUNTIFS(Dashboard_Data!$E$2:$E$1000,A3,Dashboard_Data!$F$2:$F$1000,"S/con minutos",Dashboard_Data!$A$2:$A$1000,"&gt;="&amp;Config!$B$2,Dashboard_Data!$A$2:$A$1000,"&lt;="&amp;Config!$B$3) + COUNTIFS(Dashboard_Data!$E$2:$E$1000,A3,Dashboard_Data!$F$2:$F$1000,"S/con minutos, A",Dashboard_Data!$A$2:$A$1000,"&gt;="&amp;Config!$B$2,Dashboard_Data!$A$2:$A$1000,"&lt;="&amp;Config!$B$3)</f>
        <v>2</v>
      </c>
      <c r="F3" s="11">
        <f>SUMIFS(Dashboard_Data!$G$2:$G$1000,Dashboard_Data!$E$2:$E$1000,A3,Dashboard_Data!$A$2:$A$1000,"&gt;="&amp;Config!$B$2,Dashboard_Data!$A$2:$A$1000,"&lt;="&amp;Config!$B$3)</f>
        <v>0</v>
      </c>
      <c r="G3" s="9">
        <f>COUNTIFS(Dashboard_Data!$E$2:$E$1000,A3,Dashboard_Data!$D$2:$D$1000,"SI",Dashboard_Data!$F$2:$F$1000,"T, A",Dashboard_Data!$A$2:$A$1000,"&gt;="&amp;Config!$B$2,Dashboard_Data!$A$2:$A$1000,"&lt;="&amp;Config!$B$3)+ +COUNTIFS(Dashboard_Data!$E$2:$E$1000,A3,Dashboard_Data!$D$2:$D$1000,"SI",Dashboard_Data!$F$2:$F$1000,"S/con minutos, A",Dashboard_Data!$A$2:$A$1000,"&gt;="&amp;Config!$B$2,Dashboard_Data!$A$2:$A$1000,"&lt;="&amp;Config!$B$3)</f>
        <v>0</v>
      </c>
      <c r="H3" s="11">
        <f>C3*IFERROR(VLOOKUP(A3,Jugadores_Contratos!$A:$C,3,0),0)</f>
        <v>0</v>
      </c>
      <c r="I3" s="11">
        <f>D3*IFERROR(VLOOKUP(A3,Jugadores_Contratos!$A:$D,4,0),0)</f>
        <v>0</v>
      </c>
      <c r="J3" s="11">
        <f>E3*IFERROR(VLOOKUP(A3,Jugadores_Contratos!$A:$E,5,0),0)</f>
        <v>160000</v>
      </c>
      <c r="K3" s="11">
        <f>F3*IFERROR(VLOOKUP(A3,Jugadores_Contratos!$A:$F,6,0),0)</f>
        <v>0</v>
      </c>
      <c r="L3" s="11">
        <f>G3*IFERROR(VLOOKUP(A3,Jugadores_Contratos!$A:$G,7,0),0)</f>
        <v>0</v>
      </c>
      <c r="M3" s="11">
        <f>(C3+D3+E3)*IFERROR(VLOOKUP(A3,Jugadores_Contratos!$A:$H,8,0),0)</f>
        <v>0</v>
      </c>
      <c r="N3" s="11">
        <f t="shared" si="1"/>
        <v>160000</v>
      </c>
    </row>
    <row r="4" ht="22.5" customHeight="1">
      <c r="A4" s="11" t="str">
        <f>Jugadores_Contratos!A4</f>
        <v>CARRANZA Matias</v>
      </c>
      <c r="B4" s="11" t="str">
        <f>IFERROR(VLOOKUP(A4,Jugadores_Contratos!$A:$B,2,0),"")</f>
        <v>X Fecha</v>
      </c>
      <c r="C4" s="11">
        <f>COUNTIFS(Dashboard_Data!$E$2:$E$1000,A4,Dashboard_Data!$F$2:$F$1000,"T",Dashboard_Data!$A$2:$A$1000,"&gt;="&amp;Config!$B$2,Dashboard_Data!$A$2:$A$1000,"&lt;="&amp;Config!$B$3)
+COUNTIFS(Dashboard_Data!$E$2:$E$1000,A4,Dashboard_Data!$F$2:$F$1000,"T, A",Dashboard_Data!$A$2:$A$1000,"&gt;="&amp;Config!$B$2,Dashboard_Data!$A$2:$A$1000,"&lt;="&amp;Config!$B$3)</f>
        <v>0</v>
      </c>
      <c r="D4" s="11">
        <f>COUNTIFS(Dashboard_Data!$E$2:$E$1000,A4,Dashboard_Data!$F$2:$F$1000,"S",Dashboard_Data!$A$2:$A$1000,"&gt;="&amp;Config!$B$2,Dashboard_Data!$A$2:$A$1000,"&lt;="&amp;Config!$B$3)+COUNTIFS(Dashboard_Data!$E$2:$E$1000,A4,Dashboard_Data!$F$2:$F$1000,"S, A",Dashboard_Data!$A$2:$A$1000,"&gt;="&amp;Config!$B$2,Dashboard_Data!$A$2:$A$1000,"&lt;="&amp;Config!$B$3)</f>
        <v>0</v>
      </c>
      <c r="E4" s="11">
        <f>COUNTIFS(Dashboard_Data!$E$2:$E$1000,A4,Dashboard_Data!$F$2:$F$1000,"S/con minutos",Dashboard_Data!$A$2:$A$1000,"&gt;="&amp;Config!$B$2,Dashboard_Data!$A$2:$A$1000,"&lt;="&amp;Config!$B$3) + COUNTIFS(Dashboard_Data!$E$2:$E$1000,A4,Dashboard_Data!$F$2:$F$1000,"S/con minutos, A",Dashboard_Data!$A$2:$A$1000,"&gt;="&amp;Config!$B$2,Dashboard_Data!$A$2:$A$1000,"&lt;="&amp;Config!$B$3)</f>
        <v>0</v>
      </c>
      <c r="F4" s="11">
        <f>SUMIFS(Dashboard_Data!$G$2:$G$1000,Dashboard_Data!$E$2:$E$1000,A4,Dashboard_Data!$A$2:$A$1000,"&gt;="&amp;Config!$B$2,Dashboard_Data!$A$2:$A$1000,"&lt;="&amp;Config!$B$3)</f>
        <v>0</v>
      </c>
      <c r="G4" s="9">
        <f>COUNTIFS(Dashboard_Data!$E$2:$E$1000,A4,Dashboard_Data!$D$2:$D$1000,"SI",Dashboard_Data!$F$2:$F$1000,"T, A",Dashboard_Data!$A$2:$A$1000,"&gt;="&amp;Config!$B$2,Dashboard_Data!$A$2:$A$1000,"&lt;="&amp;Config!$B$3)+ +COUNTIFS(Dashboard_Data!$E$2:$E$1000,A4,Dashboard_Data!$D$2:$D$1000,"SI",Dashboard_Data!$F$2:$F$1000,"S/con minutos, A",Dashboard_Data!$A$2:$A$1000,"&gt;="&amp;Config!$B$2,Dashboard_Data!$A$2:$A$1000,"&lt;="&amp;Config!$B$3)</f>
        <v>0</v>
      </c>
      <c r="H4" s="11">
        <f>C4*IFERROR(VLOOKUP(A4,Jugadores_Contratos!$A:$C,3,0),0)</f>
        <v>0</v>
      </c>
      <c r="I4" s="11">
        <f>D4*IFERROR(VLOOKUP(A4,Jugadores_Contratos!$A:$D,4,0),0)</f>
        <v>0</v>
      </c>
      <c r="J4" s="11">
        <f>E4*IFERROR(VLOOKUP(A4,Jugadores_Contratos!$A:$E,5,0),0)</f>
        <v>0</v>
      </c>
      <c r="K4" s="11">
        <f>F4*IFERROR(VLOOKUP(A4,Jugadores_Contratos!$A:$F,6,0),0)</f>
        <v>0</v>
      </c>
      <c r="L4" s="11">
        <f>G4*IFERROR(VLOOKUP(A4,Jugadores_Contratos!$A:$G,7,0),0)</f>
        <v>0</v>
      </c>
      <c r="M4" s="11">
        <f>(C4+D4+E4)*IFERROR(VLOOKUP(A4,Jugadores_Contratos!$A:$H,8,0),0)</f>
        <v>0</v>
      </c>
      <c r="N4" s="11">
        <f t="shared" si="1"/>
        <v>0</v>
      </c>
    </row>
    <row r="5" ht="22.5" customHeight="1">
      <c r="A5" s="11" t="str">
        <f>Jugadores_Contratos!A5</f>
        <v>Del Valle Jonatan</v>
      </c>
      <c r="B5" s="11" t="str">
        <f>IFERROR(VLOOKUP(A5,Jugadores_Contratos!$A:$B,2,0),"")</f>
        <v>Quincenal</v>
      </c>
      <c r="C5" s="11">
        <f>COUNTIFS(Dashboard_Data!$E$2:$E$1000,A5,Dashboard_Data!$F$2:$F$1000,"T",Dashboard_Data!$A$2:$A$1000,"&gt;="&amp;Config!$B$2,Dashboard_Data!$A$2:$A$1000,"&lt;="&amp;Config!$B$3)
+COUNTIFS(Dashboard_Data!$E$2:$E$1000,A5,Dashboard_Data!$F$2:$F$1000,"T, A",Dashboard_Data!$A$2:$A$1000,"&gt;="&amp;Config!$B$2,Dashboard_Data!$A$2:$A$1000,"&lt;="&amp;Config!$B$3)</f>
        <v>3</v>
      </c>
      <c r="D5" s="11">
        <f>COUNTIFS(Dashboard_Data!$E$2:$E$1000,A5,Dashboard_Data!$F$2:$F$1000,"S",Dashboard_Data!$A$2:$A$1000,"&gt;="&amp;Config!$B$2,Dashboard_Data!$A$2:$A$1000,"&lt;="&amp;Config!$B$3)+COUNTIFS(Dashboard_Data!$E$2:$E$1000,A5,Dashboard_Data!$F$2:$F$1000,"S, A",Dashboard_Data!$A$2:$A$1000,"&gt;="&amp;Config!$B$2,Dashboard_Data!$A$2:$A$1000,"&lt;="&amp;Config!$B$3)</f>
        <v>0</v>
      </c>
      <c r="E5" s="11">
        <f>COUNTIFS(Dashboard_Data!$E$2:$E$1000,A5,Dashboard_Data!$F$2:$F$1000,"S/con minutos",Dashboard_Data!$A$2:$A$1000,"&gt;="&amp;Config!$B$2,Dashboard_Data!$A$2:$A$1000,"&lt;="&amp;Config!$B$3) + COUNTIFS(Dashboard_Data!$E$2:$E$1000,A5,Dashboard_Data!$F$2:$F$1000,"S/con minutos, A",Dashboard_Data!$A$2:$A$1000,"&gt;="&amp;Config!$B$2,Dashboard_Data!$A$2:$A$1000,"&lt;="&amp;Config!$B$3)</f>
        <v>0</v>
      </c>
      <c r="F5" s="11">
        <f>SUMIFS(Dashboard_Data!$G$2:$G$1000,Dashboard_Data!$E$2:$E$1000,A5,Dashboard_Data!$A$2:$A$1000,"&gt;="&amp;Config!$B$2,Dashboard_Data!$A$2:$A$1000,"&lt;="&amp;Config!$B$3)</f>
        <v>0</v>
      </c>
      <c r="G5" s="9">
        <f>COUNTIFS(Dashboard_Data!$E$2:$E$1000,A5,Dashboard_Data!$D$2:$D$1000,"SI",Dashboard_Data!$F$2:$F$1000,"T, A",Dashboard_Data!$A$2:$A$1000,"&gt;="&amp;Config!$B$2,Dashboard_Data!$A$2:$A$1000,"&lt;="&amp;Config!$B$3)+ +COUNTIFS(Dashboard_Data!$E$2:$E$1000,A5,Dashboard_Data!$D$2:$D$1000,"SI",Dashboard_Data!$F$2:$F$1000,"S/con minutos, A",Dashboard_Data!$A$2:$A$1000,"&gt;="&amp;Config!$B$2,Dashboard_Data!$A$2:$A$1000,"&lt;="&amp;Config!$B$3)</f>
        <v>0</v>
      </c>
      <c r="H5" s="11">
        <f>C5*IFERROR(VLOOKUP(A5,Jugadores_Contratos!$A:$C,3,0),0)</f>
        <v>900000</v>
      </c>
      <c r="I5" s="11">
        <f>D5*IFERROR(VLOOKUP(A5,Jugadores_Contratos!$A:$D,4,0),0)</f>
        <v>0</v>
      </c>
      <c r="J5" s="11">
        <f>E5*IFERROR(VLOOKUP(A5,Jugadores_Contratos!$A:$E,5,0),0)</f>
        <v>0</v>
      </c>
      <c r="K5" s="11">
        <f>F5*IFERROR(VLOOKUP(A5,Jugadores_Contratos!$A:$F,6,0),0)</f>
        <v>0</v>
      </c>
      <c r="L5" s="11">
        <f>G5*IFERROR(VLOOKUP(A5,Jugadores_Contratos!$A:$G,7,0),0)</f>
        <v>0</v>
      </c>
      <c r="M5" s="11">
        <f>(C5+D5+E5)*IFERROR(VLOOKUP(A5,Jugadores_Contratos!$A:$H,8,0),0)</f>
        <v>0</v>
      </c>
      <c r="N5" s="11">
        <f t="shared" si="1"/>
        <v>900000</v>
      </c>
    </row>
    <row r="6" ht="22.5" customHeight="1">
      <c r="A6" s="11" t="str">
        <f>Jugadores_Contratos!A6</f>
        <v>Diaz Jonatan</v>
      </c>
      <c r="B6" s="11" t="str">
        <f>IFERROR(VLOOKUP(A6,Jugadores_Contratos!$A:$B,2,0),"")</f>
        <v>X Fecha</v>
      </c>
      <c r="C6" s="11">
        <f>COUNTIFS(Dashboard_Data!$E$2:$E$1000,A6,Dashboard_Data!$F$2:$F$1000,"T",Dashboard_Data!$A$2:$A$1000,"&gt;="&amp;Config!$B$2,Dashboard_Data!$A$2:$A$1000,"&lt;="&amp;Config!$B$3)
+COUNTIFS(Dashboard_Data!$E$2:$E$1000,A6,Dashboard_Data!$F$2:$F$1000,"T, A",Dashboard_Data!$A$2:$A$1000,"&gt;="&amp;Config!$B$2,Dashboard_Data!$A$2:$A$1000,"&lt;="&amp;Config!$B$3)</f>
        <v>3</v>
      </c>
      <c r="D6" s="11">
        <f>COUNTIFS(Dashboard_Data!$E$2:$E$1000,A6,Dashboard_Data!$F$2:$F$1000,"S",Dashboard_Data!$A$2:$A$1000,"&gt;="&amp;Config!$B$2,Dashboard_Data!$A$2:$A$1000,"&lt;="&amp;Config!$B$3)+COUNTIFS(Dashboard_Data!$E$2:$E$1000,A6,Dashboard_Data!$F$2:$F$1000,"S, A",Dashboard_Data!$A$2:$A$1000,"&gt;="&amp;Config!$B$2,Dashboard_Data!$A$2:$A$1000,"&lt;="&amp;Config!$B$3)</f>
        <v>0</v>
      </c>
      <c r="E6" s="11">
        <f>COUNTIFS(Dashboard_Data!$E$2:$E$1000,A6,Dashboard_Data!$F$2:$F$1000,"S/con minutos",Dashboard_Data!$A$2:$A$1000,"&gt;="&amp;Config!$B$2,Dashboard_Data!$A$2:$A$1000,"&lt;="&amp;Config!$B$3) + COUNTIFS(Dashboard_Data!$E$2:$E$1000,A6,Dashboard_Data!$F$2:$F$1000,"S/con minutos, A",Dashboard_Data!$A$2:$A$1000,"&gt;="&amp;Config!$B$2,Dashboard_Data!$A$2:$A$1000,"&lt;="&amp;Config!$B$3)</f>
        <v>0</v>
      </c>
      <c r="F6" s="11">
        <f>SUMIFS(Dashboard_Data!$G$2:$G$1000,Dashboard_Data!$E$2:$E$1000,A6,Dashboard_Data!$A$2:$A$1000,"&gt;="&amp;Config!$B$2,Dashboard_Data!$A$2:$A$1000,"&lt;="&amp;Config!$B$3)</f>
        <v>1</v>
      </c>
      <c r="G6" s="9">
        <f>COUNTIFS(Dashboard_Data!$E$2:$E$1000,A6,Dashboard_Data!$D$2:$D$1000,"SI",Dashboard_Data!$F$2:$F$1000,"T, A",Dashboard_Data!$A$2:$A$1000,"&gt;="&amp;Config!$B$2,Dashboard_Data!$A$2:$A$1000,"&lt;="&amp;Config!$B$3)+ +COUNTIFS(Dashboard_Data!$E$2:$E$1000,A6,Dashboard_Data!$D$2:$D$1000,"SI",Dashboard_Data!$F$2:$F$1000,"S/con minutos, A",Dashboard_Data!$A$2:$A$1000,"&gt;="&amp;Config!$B$2,Dashboard_Data!$A$2:$A$1000,"&lt;="&amp;Config!$B$3)</f>
        <v>0</v>
      </c>
      <c r="H6" s="11">
        <f>C6*IFERROR(VLOOKUP(A6,Jugadores_Contratos!$A:$C,3,0),0)</f>
        <v>300000</v>
      </c>
      <c r="I6" s="11">
        <f>D6*IFERROR(VLOOKUP(A6,Jugadores_Contratos!$A:$D,4,0),0)</f>
        <v>0</v>
      </c>
      <c r="J6" s="11">
        <f>E6*IFERROR(VLOOKUP(A6,Jugadores_Contratos!$A:$E,5,0),0)</f>
        <v>0</v>
      </c>
      <c r="K6" s="11">
        <f>F6*IFERROR(VLOOKUP(A6,Jugadores_Contratos!$A:$F,6,0),0)</f>
        <v>20000</v>
      </c>
      <c r="L6" s="11">
        <f>G6*IFERROR(VLOOKUP(A6,Jugadores_Contratos!$A:$G,7,0),0)</f>
        <v>0</v>
      </c>
      <c r="M6" s="11">
        <f>(C6+D6+E6)*IFERROR(VLOOKUP(A6,Jugadores_Contratos!$A:$H,8,0),0)</f>
        <v>0</v>
      </c>
      <c r="N6" s="11">
        <f t="shared" si="1"/>
        <v>320000</v>
      </c>
    </row>
    <row r="7" ht="22.5" customHeight="1">
      <c r="A7" s="11" t="str">
        <f>Jugadores_Contratos!A7</f>
        <v>Fossarelli Adrian</v>
      </c>
      <c r="B7" s="11" t="str">
        <f>IFERROR(VLOOKUP(A7,Jugadores_Contratos!$A:$B,2,0),"")</f>
        <v>Mensual</v>
      </c>
      <c r="C7" s="11">
        <f>COUNTIFS(Dashboard_Data!$E$2:$E$1000,A7,Dashboard_Data!$F$2:$F$1000,"T",Dashboard_Data!$A$2:$A$1000,"&gt;="&amp;Config!$B$2,Dashboard_Data!$A$2:$A$1000,"&lt;="&amp;Config!$B$3)
+COUNTIFS(Dashboard_Data!$E$2:$E$1000,A7,Dashboard_Data!$F$2:$F$1000,"T, A",Dashboard_Data!$A$2:$A$1000,"&gt;="&amp;Config!$B$2,Dashboard_Data!$A$2:$A$1000,"&lt;="&amp;Config!$B$3)</f>
        <v>0</v>
      </c>
      <c r="D7" s="11">
        <f>COUNTIFS(Dashboard_Data!$E$2:$E$1000,A7,Dashboard_Data!$F$2:$F$1000,"S",Dashboard_Data!$A$2:$A$1000,"&gt;="&amp;Config!$B$2,Dashboard_Data!$A$2:$A$1000,"&lt;="&amp;Config!$B$3)+COUNTIFS(Dashboard_Data!$E$2:$E$1000,A7,Dashboard_Data!$F$2:$F$1000,"S, A",Dashboard_Data!$A$2:$A$1000,"&gt;="&amp;Config!$B$2,Dashboard_Data!$A$2:$A$1000,"&lt;="&amp;Config!$B$3)</f>
        <v>0</v>
      </c>
      <c r="E7" s="11">
        <f>COUNTIFS(Dashboard_Data!$E$2:$E$1000,A7,Dashboard_Data!$F$2:$F$1000,"S/con minutos",Dashboard_Data!$A$2:$A$1000,"&gt;="&amp;Config!$B$2,Dashboard_Data!$A$2:$A$1000,"&lt;="&amp;Config!$B$3) + COUNTIFS(Dashboard_Data!$E$2:$E$1000,A7,Dashboard_Data!$F$2:$F$1000,"S/con minutos, A",Dashboard_Data!$A$2:$A$1000,"&gt;="&amp;Config!$B$2,Dashboard_Data!$A$2:$A$1000,"&lt;="&amp;Config!$B$3)</f>
        <v>0</v>
      </c>
      <c r="F7" s="11">
        <f>SUMIFS(Dashboard_Data!$G$2:$G$1000,Dashboard_Data!$E$2:$E$1000,A7,Dashboard_Data!$A$2:$A$1000,"&gt;="&amp;Config!$B$2,Dashboard_Data!$A$2:$A$1000,"&lt;="&amp;Config!$B$3)</f>
        <v>0</v>
      </c>
      <c r="G7" s="9">
        <f>COUNTIFS(Dashboard_Data!$E$2:$E$1000,A7,Dashboard_Data!$D$2:$D$1000,"SI",Dashboard_Data!$F$2:$F$1000,"T, A",Dashboard_Data!$A$2:$A$1000,"&gt;="&amp;Config!$B$2,Dashboard_Data!$A$2:$A$1000,"&lt;="&amp;Config!$B$3)+ +COUNTIFS(Dashboard_Data!$E$2:$E$1000,A7,Dashboard_Data!$D$2:$D$1000,"SI",Dashboard_Data!$F$2:$F$1000,"S/con minutos, A",Dashboard_Data!$A$2:$A$1000,"&gt;="&amp;Config!$B$2,Dashboard_Data!$A$2:$A$1000,"&lt;="&amp;Config!$B$3)</f>
        <v>0</v>
      </c>
      <c r="H7" s="11">
        <f>C7*IFERROR(VLOOKUP(A7,Jugadores_Contratos!$A:$C,3,0),0)</f>
        <v>0</v>
      </c>
      <c r="I7" s="11">
        <f>D7*IFERROR(VLOOKUP(A7,Jugadores_Contratos!$A:$D,4,0),0)</f>
        <v>0</v>
      </c>
      <c r="J7" s="11">
        <f>E7*IFERROR(VLOOKUP(A7,Jugadores_Contratos!$A:$E,5,0),0)</f>
        <v>0</v>
      </c>
      <c r="K7" s="11">
        <f>F7*IFERROR(VLOOKUP(A7,Jugadores_Contratos!$A:$F,6,0),0)</f>
        <v>0</v>
      </c>
      <c r="L7" s="11">
        <f>G7*IFERROR(VLOOKUP(A7,Jugadores_Contratos!$A:$G,7,0),0)</f>
        <v>0</v>
      </c>
      <c r="M7" s="11">
        <f>(C7+D7+E7)*IFERROR(VLOOKUP(A7,Jugadores_Contratos!$A:$H,8,0),0)</f>
        <v>0</v>
      </c>
      <c r="N7" s="11">
        <f t="shared" si="1"/>
        <v>0</v>
      </c>
    </row>
    <row r="8" ht="22.5" customHeight="1">
      <c r="A8" s="9" t="s">
        <v>77</v>
      </c>
      <c r="B8" s="11" t="str">
        <f>IFERROR(VLOOKUP(A8,Jugadores_Contratos!$A:$B,2,0),"")</f>
        <v>X Fecha</v>
      </c>
      <c r="C8" s="11">
        <f>COUNTIFS(Dashboard_Data!$E$2:$E$1000,A8,Dashboard_Data!$F$2:$F$1000,"T",Dashboard_Data!$A$2:$A$1000,"&gt;="&amp;Config!$B$2,Dashboard_Data!$A$2:$A$1000,"&lt;="&amp;Config!$B$3)
+COUNTIFS(Dashboard_Data!$E$2:$E$1000,A8,Dashboard_Data!$F$2:$F$1000,"T, A",Dashboard_Data!$A$2:$A$1000,"&gt;="&amp;Config!$B$2,Dashboard_Data!$A$2:$A$1000,"&lt;="&amp;Config!$B$3)</f>
        <v>3</v>
      </c>
      <c r="D8" s="11">
        <f>COUNTIFS(Dashboard_Data!$E$2:$E$1000,A8,Dashboard_Data!$F$2:$F$1000,"S",Dashboard_Data!$A$2:$A$1000,"&gt;="&amp;Config!$B$2,Dashboard_Data!$A$2:$A$1000,"&lt;="&amp;Config!$B$3)+COUNTIFS(Dashboard_Data!$E$2:$E$1000,A8,Dashboard_Data!$F$2:$F$1000,"S, A",Dashboard_Data!$A$2:$A$1000,"&gt;="&amp;Config!$B$2,Dashboard_Data!$A$2:$A$1000,"&lt;="&amp;Config!$B$3)</f>
        <v>0</v>
      </c>
      <c r="E8" s="11">
        <f>COUNTIFS(Dashboard_Data!$E$2:$E$1000,A8,Dashboard_Data!$F$2:$F$1000,"S/con minutos",Dashboard_Data!$A$2:$A$1000,"&gt;="&amp;Config!$B$2,Dashboard_Data!$A$2:$A$1000,"&lt;="&amp;Config!$B$3) + COUNTIFS(Dashboard_Data!$E$2:$E$1000,A8,Dashboard_Data!$F$2:$F$1000,"S/con minutos, A",Dashboard_Data!$A$2:$A$1000,"&gt;="&amp;Config!$B$2,Dashboard_Data!$A$2:$A$1000,"&lt;="&amp;Config!$B$3)</f>
        <v>0</v>
      </c>
      <c r="F8" s="11">
        <f>SUMIFS(Dashboard_Data!$G$2:$G$1000,Dashboard_Data!$E$2:$E$1000,A8,Dashboard_Data!$A$2:$A$1000,"&gt;="&amp;Config!$B$2,Dashboard_Data!$A$2:$A$1000,"&lt;="&amp;Config!$B$3)</f>
        <v>0</v>
      </c>
      <c r="G8" s="9">
        <f>COUNTIFS(Dashboard_Data!$E$2:$E$1000,A8,Dashboard_Data!$D$2:$D$1000,"SI",Dashboard_Data!$F$2:$F$1000,"T, A",Dashboard_Data!$A$2:$A$1000,"&gt;="&amp;Config!$B$2,Dashboard_Data!$A$2:$A$1000,"&lt;="&amp;Config!$B$3)+ +COUNTIFS(Dashboard_Data!$E$2:$E$1000,A8,Dashboard_Data!$D$2:$D$1000,"SI",Dashboard_Data!$F$2:$F$1000,"S/con minutos, A",Dashboard_Data!$A$2:$A$1000,"&gt;="&amp;Config!$B$2,Dashboard_Data!$A$2:$A$1000,"&lt;="&amp;Config!$B$3)</f>
        <v>0</v>
      </c>
      <c r="H8" s="11">
        <f>C8*IFERROR(VLOOKUP(A8,Jugadores_Contratos!$A:$C,3,0),0)</f>
        <v>210000</v>
      </c>
      <c r="I8" s="11">
        <f>D8*IFERROR(VLOOKUP(A8,Jugadores_Contratos!$A:$D,4,0),0)</f>
        <v>0</v>
      </c>
      <c r="J8" s="11">
        <f>E8*IFERROR(VLOOKUP(A8,Jugadores_Contratos!$A:$E,5,0),0)</f>
        <v>0</v>
      </c>
      <c r="K8" s="11">
        <f>F8*IFERROR(VLOOKUP(A8,Jugadores_Contratos!$A:$F,6,0),0)</f>
        <v>0</v>
      </c>
      <c r="L8" s="11">
        <f>G8*IFERROR(VLOOKUP(A8,Jugadores_Contratos!$A:$G,7,0),0)</f>
        <v>0</v>
      </c>
      <c r="M8" s="11">
        <f>(C8+D8+E8)*IFERROR(VLOOKUP(A8,Jugadores_Contratos!$A:$H,8,0),0)</f>
        <v>0</v>
      </c>
      <c r="N8" s="11">
        <f t="shared" si="1"/>
        <v>210000</v>
      </c>
    </row>
    <row r="9" ht="22.5" customHeight="1">
      <c r="A9" s="11" t="str">
        <f>Jugadores_Contratos!A9</f>
        <v>Gamarino Emiliano</v>
      </c>
      <c r="B9" s="11" t="str">
        <f>IFERROR(VLOOKUP(A9,Jugadores_Contratos!$A:$B,2,0),"")</f>
        <v>Mensual</v>
      </c>
      <c r="C9" s="11">
        <f>COUNTIFS(Dashboard_Data!$E$2:$E$1000,A9,Dashboard_Data!$F$2:$F$1000,"T",Dashboard_Data!$A$2:$A$1000,"&gt;="&amp;Config!$B$2,Dashboard_Data!$A$2:$A$1000,"&lt;="&amp;Config!$B$3)
+COUNTIFS(Dashboard_Data!$E$2:$E$1000,A9,Dashboard_Data!$F$2:$F$1000,"T, A",Dashboard_Data!$A$2:$A$1000,"&gt;="&amp;Config!$B$2,Dashboard_Data!$A$2:$A$1000,"&lt;="&amp;Config!$B$3)</f>
        <v>0</v>
      </c>
      <c r="D9" s="11">
        <f>COUNTIFS(Dashboard_Data!$E$2:$E$1000,A9,Dashboard_Data!$F$2:$F$1000,"S",Dashboard_Data!$A$2:$A$1000,"&gt;="&amp;Config!$B$2,Dashboard_Data!$A$2:$A$1000,"&lt;="&amp;Config!$B$3)+COUNTIFS(Dashboard_Data!$E$2:$E$1000,A9,Dashboard_Data!$F$2:$F$1000,"S, A",Dashboard_Data!$A$2:$A$1000,"&gt;="&amp;Config!$B$2,Dashboard_Data!$A$2:$A$1000,"&lt;="&amp;Config!$B$3)</f>
        <v>0</v>
      </c>
      <c r="E9" s="11">
        <f>COUNTIFS(Dashboard_Data!$E$2:$E$1000,A9,Dashboard_Data!$F$2:$F$1000,"S/con minutos",Dashboard_Data!$A$2:$A$1000,"&gt;="&amp;Config!$B$2,Dashboard_Data!$A$2:$A$1000,"&lt;="&amp;Config!$B$3) + COUNTIFS(Dashboard_Data!$E$2:$E$1000,A9,Dashboard_Data!$F$2:$F$1000,"S/con minutos, A",Dashboard_Data!$A$2:$A$1000,"&gt;="&amp;Config!$B$2,Dashboard_Data!$A$2:$A$1000,"&lt;="&amp;Config!$B$3)</f>
        <v>0</v>
      </c>
      <c r="F9" s="11">
        <f>SUMIFS(Dashboard_Data!$G$2:$G$1000,Dashboard_Data!$E$2:$E$1000,A9,Dashboard_Data!$A$2:$A$1000,"&gt;="&amp;Config!$B$2,Dashboard_Data!$A$2:$A$1000,"&lt;="&amp;Config!$B$3)</f>
        <v>0</v>
      </c>
      <c r="G9" s="9">
        <f>COUNTIFS(Dashboard_Data!$E$2:$E$1000,A9,Dashboard_Data!$D$2:$D$1000,"SI",Dashboard_Data!$F$2:$F$1000,"T, A",Dashboard_Data!$A$2:$A$1000,"&gt;="&amp;Config!$B$2,Dashboard_Data!$A$2:$A$1000,"&lt;="&amp;Config!$B$3)+ +COUNTIFS(Dashboard_Data!$E$2:$E$1000,A9,Dashboard_Data!$D$2:$D$1000,"SI",Dashboard_Data!$F$2:$F$1000,"S/con minutos, A",Dashboard_Data!$A$2:$A$1000,"&gt;="&amp;Config!$B$2,Dashboard_Data!$A$2:$A$1000,"&lt;="&amp;Config!$B$3)</f>
        <v>0</v>
      </c>
      <c r="H9" s="11">
        <f>C9*IFERROR(VLOOKUP(A9,Jugadores_Contratos!$A:$C,3,0),0)</f>
        <v>0</v>
      </c>
      <c r="I9" s="11">
        <f>D9*IFERROR(VLOOKUP(A9,Jugadores_Contratos!$A:$D,4,0),0)</f>
        <v>0</v>
      </c>
      <c r="J9" s="11">
        <f>E9*IFERROR(VLOOKUP(A9,Jugadores_Contratos!$A:$E,5,0),0)</f>
        <v>0</v>
      </c>
      <c r="K9" s="11">
        <f>F9*IFERROR(VLOOKUP(A9,Jugadores_Contratos!$A:$F,6,0),0)</f>
        <v>0</v>
      </c>
      <c r="L9" s="11">
        <f>G9*IFERROR(VLOOKUP(A9,Jugadores_Contratos!$A:$G,7,0),0)</f>
        <v>0</v>
      </c>
      <c r="M9" s="11">
        <f>(C9+D9+E9)*IFERROR(VLOOKUP(A9,Jugadores_Contratos!$A:$H,8,0),0)</f>
        <v>0</v>
      </c>
      <c r="N9" s="11">
        <f t="shared" si="1"/>
        <v>0</v>
      </c>
    </row>
    <row r="10" ht="22.5" customHeight="1">
      <c r="A10" s="11" t="str">
        <f>Jugadores_Contratos!A10</f>
        <v>GOMEZ Gustavo</v>
      </c>
      <c r="B10" s="11" t="str">
        <f>IFERROR(VLOOKUP(A10,Jugadores_Contratos!$A:$B,2,0),"")</f>
        <v>Mensual</v>
      </c>
      <c r="C10" s="11">
        <f>COUNTIFS(Dashboard_Data!$E$2:$E$1000,A10,Dashboard_Data!$F$2:$F$1000,"T",Dashboard_Data!$A$2:$A$1000,"&gt;="&amp;Config!$B$2,Dashboard_Data!$A$2:$A$1000,"&lt;="&amp;Config!$B$3)
+COUNTIFS(Dashboard_Data!$E$2:$E$1000,A10,Dashboard_Data!$F$2:$F$1000,"T, A",Dashboard_Data!$A$2:$A$1000,"&gt;="&amp;Config!$B$2,Dashboard_Data!$A$2:$A$1000,"&lt;="&amp;Config!$B$3)</f>
        <v>3</v>
      </c>
      <c r="D10" s="11">
        <f>COUNTIFS(Dashboard_Data!$E$2:$E$1000,A10,Dashboard_Data!$F$2:$F$1000,"S",Dashboard_Data!$A$2:$A$1000,"&gt;="&amp;Config!$B$2,Dashboard_Data!$A$2:$A$1000,"&lt;="&amp;Config!$B$3)+COUNTIFS(Dashboard_Data!$E$2:$E$1000,A10,Dashboard_Data!$F$2:$F$1000,"S, A",Dashboard_Data!$A$2:$A$1000,"&gt;="&amp;Config!$B$2,Dashboard_Data!$A$2:$A$1000,"&lt;="&amp;Config!$B$3)</f>
        <v>0</v>
      </c>
      <c r="E10" s="11">
        <f>COUNTIFS(Dashboard_Data!$E$2:$E$1000,A10,Dashboard_Data!$F$2:$F$1000,"S/con minutos",Dashboard_Data!$A$2:$A$1000,"&gt;="&amp;Config!$B$2,Dashboard_Data!$A$2:$A$1000,"&lt;="&amp;Config!$B$3) + COUNTIFS(Dashboard_Data!$E$2:$E$1000,A10,Dashboard_Data!$F$2:$F$1000,"S/con minutos, A",Dashboard_Data!$A$2:$A$1000,"&gt;="&amp;Config!$B$2,Dashboard_Data!$A$2:$A$1000,"&lt;="&amp;Config!$B$3)</f>
        <v>0</v>
      </c>
      <c r="F10" s="11">
        <f>SUMIFS(Dashboard_Data!$G$2:$G$1000,Dashboard_Data!$E$2:$E$1000,A10,Dashboard_Data!$A$2:$A$1000,"&gt;="&amp;Config!$B$2,Dashboard_Data!$A$2:$A$1000,"&lt;="&amp;Config!$B$3)</f>
        <v>0</v>
      </c>
      <c r="G10" s="9">
        <f>COUNTIFS(Dashboard_Data!$E$2:$E$1000,A10,Dashboard_Data!$D$2:$D$1000,"SI",Dashboard_Data!$F$2:$F$1000,"T, A",Dashboard_Data!$A$2:$A$1000,"&gt;="&amp;Config!$B$2,Dashboard_Data!$A$2:$A$1000,"&lt;="&amp;Config!$B$3)+ +COUNTIFS(Dashboard_Data!$E$2:$E$1000,A10,Dashboard_Data!$D$2:$D$1000,"SI",Dashboard_Data!$F$2:$F$1000,"S/con minutos, A",Dashboard_Data!$A$2:$A$1000,"&gt;="&amp;Config!$B$2,Dashboard_Data!$A$2:$A$1000,"&lt;="&amp;Config!$B$3)</f>
        <v>0</v>
      </c>
      <c r="H10" s="11">
        <f>C10*IFERROR(VLOOKUP(A10,Jugadores_Contratos!$A:$C,3,0),0)</f>
        <v>1350000</v>
      </c>
      <c r="I10" s="11">
        <f>D10*IFERROR(VLOOKUP(A10,Jugadores_Contratos!$A:$D,4,0),0)</f>
        <v>0</v>
      </c>
      <c r="J10" s="11">
        <f>E10*IFERROR(VLOOKUP(A10,Jugadores_Contratos!$A:$E,5,0),0)</f>
        <v>0</v>
      </c>
      <c r="K10" s="11">
        <f>F10*IFERROR(VLOOKUP(A10,Jugadores_Contratos!$A:$F,6,0),0)</f>
        <v>0</v>
      </c>
      <c r="L10" s="11">
        <f>G10*IFERROR(VLOOKUP(A10,Jugadores_Contratos!$A:$G,7,0),0)</f>
        <v>0</v>
      </c>
      <c r="M10" s="11">
        <f>(C10+D10+E10)*IFERROR(VLOOKUP(A10,Jugadores_Contratos!$A:$H,8,0),0)</f>
        <v>0</v>
      </c>
      <c r="N10" s="11">
        <f t="shared" si="1"/>
        <v>1350000</v>
      </c>
    </row>
    <row r="11" ht="22.5" customHeight="1">
      <c r="A11" s="9" t="s">
        <v>78</v>
      </c>
      <c r="B11" s="11" t="str">
        <f>IFERROR(VLOOKUP(A11,Jugadores_Contratos!$A:$B,2,0),"")</f>
        <v>X Fecha</v>
      </c>
      <c r="C11" s="11">
        <f>COUNTIFS(Dashboard_Data!$E$2:$E$1000,A11,Dashboard_Data!$F$2:$F$1000,"T",Dashboard_Data!$A$2:$A$1000,"&gt;="&amp;Config!$B$2,Dashboard_Data!$A$2:$A$1000,"&lt;="&amp;Config!$B$3)
+COUNTIFS(Dashboard_Data!$E$2:$E$1000,A11,Dashboard_Data!$F$2:$F$1000,"T, A",Dashboard_Data!$A$2:$A$1000,"&gt;="&amp;Config!$B$2,Dashboard_Data!$A$2:$A$1000,"&lt;="&amp;Config!$B$3)</f>
        <v>3</v>
      </c>
      <c r="D11" s="11">
        <f>COUNTIFS(Dashboard_Data!$E$2:$E$1000,A11,Dashboard_Data!$F$2:$F$1000,"S",Dashboard_Data!$A$2:$A$1000,"&gt;="&amp;Config!$B$2,Dashboard_Data!$A$2:$A$1000,"&lt;="&amp;Config!$B$3)+COUNTIFS(Dashboard_Data!$E$2:$E$1000,A11,Dashboard_Data!$F$2:$F$1000,"S, A",Dashboard_Data!$A$2:$A$1000,"&gt;="&amp;Config!$B$2,Dashboard_Data!$A$2:$A$1000,"&lt;="&amp;Config!$B$3)</f>
        <v>0</v>
      </c>
      <c r="E11" s="11">
        <f>COUNTIFS(Dashboard_Data!$E$2:$E$1000,A11,Dashboard_Data!$F$2:$F$1000,"S/con minutos",Dashboard_Data!$A$2:$A$1000,"&gt;="&amp;Config!$B$2,Dashboard_Data!$A$2:$A$1000,"&lt;="&amp;Config!$B$3) + COUNTIFS(Dashboard_Data!$E$2:$E$1000,A11,Dashboard_Data!$F$2:$F$1000,"S/con minutos, A",Dashboard_Data!$A$2:$A$1000,"&gt;="&amp;Config!$B$2,Dashboard_Data!$A$2:$A$1000,"&lt;="&amp;Config!$B$3)</f>
        <v>0</v>
      </c>
      <c r="F11" s="11">
        <f>SUMIFS(Dashboard_Data!$G$2:$G$1000,Dashboard_Data!$E$2:$E$1000,A11,Dashboard_Data!$A$2:$A$1000,"&gt;="&amp;Config!$B$2,Dashboard_Data!$A$2:$A$1000,"&lt;="&amp;Config!$B$3)</f>
        <v>0</v>
      </c>
      <c r="G11" s="9">
        <f>COUNTIFS(Dashboard_Data!$E$2:$E$1000,A11,Dashboard_Data!$D$2:$D$1000,"SI",Dashboard_Data!$F$2:$F$1000,"T, A",Dashboard_Data!$A$2:$A$1000,"&gt;="&amp;Config!$B$2,Dashboard_Data!$A$2:$A$1000,"&lt;="&amp;Config!$B$3)+ +COUNTIFS(Dashboard_Data!$E$2:$E$1000,A11,Dashboard_Data!$D$2:$D$1000,"SI",Dashboard_Data!$F$2:$F$1000,"S/con minutos, A",Dashboard_Data!$A$2:$A$1000,"&gt;="&amp;Config!$B$2,Dashboard_Data!$A$2:$A$1000,"&lt;="&amp;Config!$B$3)</f>
        <v>0</v>
      </c>
      <c r="H11" s="11">
        <f>C11*IFERROR(VLOOKUP(A11,Jugadores_Contratos!$A:$C,3,0),0)</f>
        <v>300000</v>
      </c>
      <c r="I11" s="11">
        <f>D11*IFERROR(VLOOKUP(A11,Jugadores_Contratos!$A:$D,4,0),0)</f>
        <v>0</v>
      </c>
      <c r="J11" s="11">
        <f>E11*IFERROR(VLOOKUP(A11,Jugadores_Contratos!$A:$E,5,0),0)</f>
        <v>0</v>
      </c>
      <c r="K11" s="11">
        <f>F11*IFERROR(VLOOKUP(A11,Jugadores_Contratos!$A:$F,6,0),0)</f>
        <v>0</v>
      </c>
      <c r="L11" s="11">
        <f>G11*IFERROR(VLOOKUP(A11,Jugadores_Contratos!$A:$G,7,0),0)</f>
        <v>0</v>
      </c>
      <c r="M11" s="11">
        <f>(C11+D11+E11)*IFERROR(VLOOKUP(A11,Jugadores_Contratos!$A:$H,8,0),0)</f>
        <v>0</v>
      </c>
      <c r="N11" s="11">
        <f t="shared" si="1"/>
        <v>300000</v>
      </c>
    </row>
    <row r="12" ht="22.5" customHeight="1">
      <c r="A12" s="9" t="s">
        <v>79</v>
      </c>
      <c r="B12" s="11" t="str">
        <f>IFERROR(VLOOKUP(A12,Jugadores_Contratos!$A:$B,2,0),"")</f>
        <v>X Fecha</v>
      </c>
      <c r="C12" s="11">
        <f>COUNTIFS(Dashboard_Data!$E$2:$E$1000,A12,Dashboard_Data!$F$2:$F$1000,"T",Dashboard_Data!$A$2:$A$1000,"&gt;="&amp;Config!$B$2,Dashboard_Data!$A$2:$A$1000,"&lt;="&amp;Config!$B$3)
+COUNTIFS(Dashboard_Data!$E$2:$E$1000,A12,Dashboard_Data!$F$2:$F$1000,"T, A",Dashboard_Data!$A$2:$A$1000,"&gt;="&amp;Config!$B$2,Dashboard_Data!$A$2:$A$1000,"&lt;="&amp;Config!$B$3)</f>
        <v>0</v>
      </c>
      <c r="D12" s="11">
        <f>COUNTIFS(Dashboard_Data!$E$2:$E$1000,A12,Dashboard_Data!$F$2:$F$1000,"S",Dashboard_Data!$A$2:$A$1000,"&gt;="&amp;Config!$B$2,Dashboard_Data!$A$2:$A$1000,"&lt;="&amp;Config!$B$3)+COUNTIFS(Dashboard_Data!$E$2:$E$1000,A12,Dashboard_Data!$F$2:$F$1000,"S, A",Dashboard_Data!$A$2:$A$1000,"&gt;="&amp;Config!$B$2,Dashboard_Data!$A$2:$A$1000,"&lt;="&amp;Config!$B$3)</f>
        <v>2</v>
      </c>
      <c r="E12" s="11">
        <f>COUNTIFS(Dashboard_Data!$E$2:$E$1000,A12,Dashboard_Data!$F$2:$F$1000,"S/con minutos",Dashboard_Data!$A$2:$A$1000,"&gt;="&amp;Config!$B$2,Dashboard_Data!$A$2:$A$1000,"&lt;="&amp;Config!$B$3) + COUNTIFS(Dashboard_Data!$E$2:$E$1000,A12,Dashboard_Data!$F$2:$F$1000,"S/con minutos, A",Dashboard_Data!$A$2:$A$1000,"&gt;="&amp;Config!$B$2,Dashboard_Data!$A$2:$A$1000,"&lt;="&amp;Config!$B$3)</f>
        <v>0</v>
      </c>
      <c r="F12" s="11">
        <f>SUMIFS(Dashboard_Data!$G$2:$G$1000,Dashboard_Data!$E$2:$E$1000,A12,Dashboard_Data!$A$2:$A$1000,"&gt;="&amp;Config!$B$2,Dashboard_Data!$A$2:$A$1000,"&lt;="&amp;Config!$B$3)</f>
        <v>0</v>
      </c>
      <c r="G12" s="9">
        <f>COUNTIFS(Dashboard_Data!$E$2:$E$1000,A12,Dashboard_Data!$D$2:$D$1000,"SI",Dashboard_Data!$F$2:$F$1000,"T, A",Dashboard_Data!$A$2:$A$1000,"&gt;="&amp;Config!$B$2,Dashboard_Data!$A$2:$A$1000,"&lt;="&amp;Config!$B$3)+ +COUNTIFS(Dashboard_Data!$E$2:$E$1000,A12,Dashboard_Data!$D$2:$D$1000,"SI",Dashboard_Data!$F$2:$F$1000,"S/con minutos, A",Dashboard_Data!$A$2:$A$1000,"&gt;="&amp;Config!$B$2,Dashboard_Data!$A$2:$A$1000,"&lt;="&amp;Config!$B$3)</f>
        <v>0</v>
      </c>
      <c r="H12" s="11">
        <f>C12*IFERROR(VLOOKUP(A12,Jugadores_Contratos!$A:$C,3,0),0)</f>
        <v>0</v>
      </c>
      <c r="I12" s="11">
        <f>D12*IFERROR(VLOOKUP(A12,Jugadores_Contratos!$A:$D,4,0),0)</f>
        <v>100000</v>
      </c>
      <c r="J12" s="11">
        <f>E12*IFERROR(VLOOKUP(A12,Jugadores_Contratos!$A:$E,5,0),0)</f>
        <v>0</v>
      </c>
      <c r="K12" s="11">
        <f>F12*IFERROR(VLOOKUP(A12,Jugadores_Contratos!$A:$F,6,0),0)</f>
        <v>0</v>
      </c>
      <c r="L12" s="11">
        <f>G12*IFERROR(VLOOKUP(A12,Jugadores_Contratos!$A:$G,7,0),0)</f>
        <v>0</v>
      </c>
      <c r="M12" s="11">
        <f>(C12+D12+E12)*IFERROR(VLOOKUP(A12,Jugadores_Contratos!$A:$H,8,0),0)</f>
        <v>0</v>
      </c>
      <c r="N12" s="11">
        <f t="shared" si="1"/>
        <v>100000</v>
      </c>
    </row>
    <row r="13" ht="22.5" customHeight="1">
      <c r="A13" s="11" t="str">
        <f>Jugadores_Contratos!A13</f>
        <v>LANDRIEL Federico</v>
      </c>
      <c r="B13" s="11" t="str">
        <f>IFERROR(VLOOKUP(A13,Jugadores_Contratos!$A:$B,2,0),"")</f>
        <v>X Fecha</v>
      </c>
      <c r="C13" s="11">
        <f>COUNTIFS(Dashboard_Data!$E$2:$E$1000,A13,Dashboard_Data!$F$2:$F$1000,"T",Dashboard_Data!$A$2:$A$1000,"&gt;="&amp;Config!$B$2,Dashboard_Data!$A$2:$A$1000,"&lt;="&amp;Config!$B$3)
+COUNTIFS(Dashboard_Data!$E$2:$E$1000,A13,Dashboard_Data!$F$2:$F$1000,"T, A",Dashboard_Data!$A$2:$A$1000,"&gt;="&amp;Config!$B$2,Dashboard_Data!$A$2:$A$1000,"&lt;="&amp;Config!$B$3)</f>
        <v>0</v>
      </c>
      <c r="D13" s="11">
        <f>COUNTIFS(Dashboard_Data!$E$2:$E$1000,A13,Dashboard_Data!$F$2:$F$1000,"S",Dashboard_Data!$A$2:$A$1000,"&gt;="&amp;Config!$B$2,Dashboard_Data!$A$2:$A$1000,"&lt;="&amp;Config!$B$3)+COUNTIFS(Dashboard_Data!$E$2:$E$1000,A13,Dashboard_Data!$F$2:$F$1000,"S, A",Dashboard_Data!$A$2:$A$1000,"&gt;="&amp;Config!$B$2,Dashboard_Data!$A$2:$A$1000,"&lt;="&amp;Config!$B$3)</f>
        <v>1</v>
      </c>
      <c r="E13" s="11">
        <f>COUNTIFS(Dashboard_Data!$E$2:$E$1000,A13,Dashboard_Data!$F$2:$F$1000,"S/con minutos",Dashboard_Data!$A$2:$A$1000,"&gt;="&amp;Config!$B$2,Dashboard_Data!$A$2:$A$1000,"&lt;="&amp;Config!$B$3) + COUNTIFS(Dashboard_Data!$E$2:$E$1000,A13,Dashboard_Data!$F$2:$F$1000,"S/con minutos, A",Dashboard_Data!$A$2:$A$1000,"&gt;="&amp;Config!$B$2,Dashboard_Data!$A$2:$A$1000,"&lt;="&amp;Config!$B$3)</f>
        <v>0</v>
      </c>
      <c r="F13" s="11">
        <f>SUMIFS(Dashboard_Data!$G$2:$G$1000,Dashboard_Data!$E$2:$E$1000,A13,Dashboard_Data!$A$2:$A$1000,"&gt;="&amp;Config!$B$2,Dashboard_Data!$A$2:$A$1000,"&lt;="&amp;Config!$B$3)</f>
        <v>0</v>
      </c>
      <c r="G13" s="9">
        <f>COUNTIFS(Dashboard_Data!$E$2:$E$1000,A13,Dashboard_Data!$D$2:$D$1000,"SI",Dashboard_Data!$F$2:$F$1000,"T, A",Dashboard_Data!$A$2:$A$1000,"&gt;="&amp;Config!$B$2,Dashboard_Data!$A$2:$A$1000,"&lt;="&amp;Config!$B$3)+ +COUNTIFS(Dashboard_Data!$E$2:$E$1000,A13,Dashboard_Data!$D$2:$D$1000,"SI",Dashboard_Data!$F$2:$F$1000,"S/con minutos, A",Dashboard_Data!$A$2:$A$1000,"&gt;="&amp;Config!$B$2,Dashboard_Data!$A$2:$A$1000,"&lt;="&amp;Config!$B$3)</f>
        <v>0</v>
      </c>
      <c r="H13" s="11">
        <f>C13*IFERROR(VLOOKUP(A13,Jugadores_Contratos!$A:$C,3,0),0)</f>
        <v>0</v>
      </c>
      <c r="I13" s="11">
        <f>D13*IFERROR(VLOOKUP(A13,Jugadores_Contratos!$A:$D,4,0),0)</f>
        <v>50000</v>
      </c>
      <c r="J13" s="11">
        <f>E13*IFERROR(VLOOKUP(A13,Jugadores_Contratos!$A:$E,5,0),0)</f>
        <v>0</v>
      </c>
      <c r="K13" s="11">
        <f>F13*IFERROR(VLOOKUP(A13,Jugadores_Contratos!$A:$F,6,0),0)</f>
        <v>0</v>
      </c>
      <c r="L13" s="11">
        <f>G13*IFERROR(VLOOKUP(A13,Jugadores_Contratos!$A:$G,7,0),0)</f>
        <v>0</v>
      </c>
      <c r="M13" s="11">
        <f>(C13+D13+E13)*IFERROR(VLOOKUP(A13,Jugadores_Contratos!$A:$H,8,0),0)</f>
        <v>0</v>
      </c>
      <c r="N13" s="11">
        <f t="shared" si="1"/>
        <v>50000</v>
      </c>
    </row>
    <row r="14" ht="22.5" customHeight="1">
      <c r="A14" s="11" t="str">
        <f>Jugadores_Contratos!A14</f>
        <v>Lazaneo Juan Manuel</v>
      </c>
      <c r="B14" s="11" t="str">
        <f>IFERROR(VLOOKUP(A14,Jugadores_Contratos!$A:$B,2,0),"")</f>
        <v>Mensual</v>
      </c>
      <c r="C14" s="11">
        <f>COUNTIFS(Dashboard_Data!$E$2:$E$1000,A14,Dashboard_Data!$F$2:$F$1000,"T",Dashboard_Data!$A$2:$A$1000,"&gt;="&amp;Config!$B$2,Dashboard_Data!$A$2:$A$1000,"&lt;="&amp;Config!$B$3)
+COUNTIFS(Dashboard_Data!$E$2:$E$1000,A14,Dashboard_Data!$F$2:$F$1000,"T, A",Dashboard_Data!$A$2:$A$1000,"&gt;="&amp;Config!$B$2,Dashboard_Data!$A$2:$A$1000,"&lt;="&amp;Config!$B$3)</f>
        <v>3</v>
      </c>
      <c r="D14" s="11">
        <f>COUNTIFS(Dashboard_Data!$E$2:$E$1000,A14,Dashboard_Data!$F$2:$F$1000,"S",Dashboard_Data!$A$2:$A$1000,"&gt;="&amp;Config!$B$2,Dashboard_Data!$A$2:$A$1000,"&lt;="&amp;Config!$B$3)+COUNTIFS(Dashboard_Data!$E$2:$E$1000,A14,Dashboard_Data!$F$2:$F$1000,"S, A",Dashboard_Data!$A$2:$A$1000,"&gt;="&amp;Config!$B$2,Dashboard_Data!$A$2:$A$1000,"&lt;="&amp;Config!$B$3)</f>
        <v>0</v>
      </c>
      <c r="E14" s="11">
        <f>COUNTIFS(Dashboard_Data!$E$2:$E$1000,A14,Dashboard_Data!$F$2:$F$1000,"S/con minutos",Dashboard_Data!$A$2:$A$1000,"&gt;="&amp;Config!$B$2,Dashboard_Data!$A$2:$A$1000,"&lt;="&amp;Config!$B$3) + COUNTIFS(Dashboard_Data!$E$2:$E$1000,A14,Dashboard_Data!$F$2:$F$1000,"S/con minutos, A",Dashboard_Data!$A$2:$A$1000,"&gt;="&amp;Config!$B$2,Dashboard_Data!$A$2:$A$1000,"&lt;="&amp;Config!$B$3)</f>
        <v>0</v>
      </c>
      <c r="F14" s="11">
        <f>SUMIFS(Dashboard_Data!$G$2:$G$1000,Dashboard_Data!$E$2:$E$1000,A14,Dashboard_Data!$A$2:$A$1000,"&gt;="&amp;Config!$B$2,Dashboard_Data!$A$2:$A$1000,"&lt;="&amp;Config!$B$3)</f>
        <v>0</v>
      </c>
      <c r="G14" s="9">
        <f>COUNTIFS(Dashboard_Data!$E$2:$E$1000,A14,Dashboard_Data!$D$2:$D$1000,"SI",Dashboard_Data!$F$2:$F$1000,"T, A",Dashboard_Data!$A$2:$A$1000,"&gt;="&amp;Config!$B$2,Dashboard_Data!$A$2:$A$1000,"&lt;="&amp;Config!$B$3)+ +COUNTIFS(Dashboard_Data!$E$2:$E$1000,A14,Dashboard_Data!$D$2:$D$1000,"SI",Dashboard_Data!$F$2:$F$1000,"S/con minutos, A",Dashboard_Data!$A$2:$A$1000,"&gt;="&amp;Config!$B$2,Dashboard_Data!$A$2:$A$1000,"&lt;="&amp;Config!$B$3)</f>
        <v>0</v>
      </c>
      <c r="H14" s="11">
        <f>C14*IFERROR(VLOOKUP(A14,Jugadores_Contratos!$A:$C,3,0),0)</f>
        <v>5700000</v>
      </c>
      <c r="I14" s="11">
        <f>D14*IFERROR(VLOOKUP(A14,Jugadores_Contratos!$A:$D,4,0),0)</f>
        <v>0</v>
      </c>
      <c r="J14" s="11">
        <f>E14*IFERROR(VLOOKUP(A14,Jugadores_Contratos!$A:$E,5,0),0)</f>
        <v>0</v>
      </c>
      <c r="K14" s="11">
        <f>F14*IFERROR(VLOOKUP(A14,Jugadores_Contratos!$A:$F,6,0),0)</f>
        <v>0</v>
      </c>
      <c r="L14" s="11">
        <f>G14*IFERROR(VLOOKUP(A14,Jugadores_Contratos!$A:$G,7,0),0)</f>
        <v>0</v>
      </c>
      <c r="M14" s="11">
        <f>(C14+D14+E14)*IFERROR(VLOOKUP(A14,Jugadores_Contratos!$A:$H,8,0),0)</f>
        <v>0</v>
      </c>
      <c r="N14" s="11">
        <f t="shared" si="1"/>
        <v>5700000</v>
      </c>
    </row>
    <row r="15" ht="22.5" customHeight="1">
      <c r="A15" s="11" t="str">
        <f>Jugadores_Contratos!A15</f>
        <v>LECUIMA Esteban</v>
      </c>
      <c r="B15" s="11" t="str">
        <f>IFERROR(VLOOKUP(A15,Jugadores_Contratos!$A:$B,2,0),"")</f>
        <v>X Fecha</v>
      </c>
      <c r="C15" s="11">
        <f>COUNTIFS(Dashboard_Data!$E$2:$E$1000,A15,Dashboard_Data!$F$2:$F$1000,"T",Dashboard_Data!$A$2:$A$1000,"&gt;="&amp;Config!$B$2,Dashboard_Data!$A$2:$A$1000,"&lt;="&amp;Config!$B$3)
+COUNTIFS(Dashboard_Data!$E$2:$E$1000,A15,Dashboard_Data!$F$2:$F$1000,"T, A",Dashboard_Data!$A$2:$A$1000,"&gt;="&amp;Config!$B$2,Dashboard_Data!$A$2:$A$1000,"&lt;="&amp;Config!$B$3)</f>
        <v>3</v>
      </c>
      <c r="D15" s="11">
        <f>COUNTIFS(Dashboard_Data!$E$2:$E$1000,A15,Dashboard_Data!$F$2:$F$1000,"S",Dashboard_Data!$A$2:$A$1000,"&gt;="&amp;Config!$B$2,Dashboard_Data!$A$2:$A$1000,"&lt;="&amp;Config!$B$3)+COUNTIFS(Dashboard_Data!$E$2:$E$1000,A15,Dashboard_Data!$F$2:$F$1000,"S, A",Dashboard_Data!$A$2:$A$1000,"&gt;="&amp;Config!$B$2,Dashboard_Data!$A$2:$A$1000,"&lt;="&amp;Config!$B$3)</f>
        <v>0</v>
      </c>
      <c r="E15" s="11">
        <f>COUNTIFS(Dashboard_Data!$E$2:$E$1000,A15,Dashboard_Data!$F$2:$F$1000,"S/con minutos",Dashboard_Data!$A$2:$A$1000,"&gt;="&amp;Config!$B$2,Dashboard_Data!$A$2:$A$1000,"&lt;="&amp;Config!$B$3) + COUNTIFS(Dashboard_Data!$E$2:$E$1000,A15,Dashboard_Data!$F$2:$F$1000,"S/con minutos, A",Dashboard_Data!$A$2:$A$1000,"&gt;="&amp;Config!$B$2,Dashboard_Data!$A$2:$A$1000,"&lt;="&amp;Config!$B$3)</f>
        <v>0</v>
      </c>
      <c r="F15" s="11">
        <f>SUMIFS(Dashboard_Data!$G$2:$G$1000,Dashboard_Data!$E$2:$E$1000,A15,Dashboard_Data!$A$2:$A$1000,"&gt;="&amp;Config!$B$2,Dashboard_Data!$A$2:$A$1000,"&lt;="&amp;Config!$B$3)</f>
        <v>0</v>
      </c>
      <c r="G15" s="9">
        <f>COUNTIFS(Dashboard_Data!$E$2:$E$1000,A15,Dashboard_Data!$D$2:$D$1000,"SI",Dashboard_Data!$F$2:$F$1000,"T, A",Dashboard_Data!$A$2:$A$1000,"&gt;="&amp;Config!$B$2,Dashboard_Data!$A$2:$A$1000,"&lt;="&amp;Config!$B$3)+ +COUNTIFS(Dashboard_Data!$E$2:$E$1000,A15,Dashboard_Data!$D$2:$D$1000,"SI",Dashboard_Data!$F$2:$F$1000,"S/con minutos, A",Dashboard_Data!$A$2:$A$1000,"&gt;="&amp;Config!$B$2,Dashboard_Data!$A$2:$A$1000,"&lt;="&amp;Config!$B$3)</f>
        <v>2</v>
      </c>
      <c r="H15" s="11">
        <f>IF(C15=2,IFERROR(VLOOKUP(A15,Jugadores_Contratos!$A:$C,3,0),0),0)</f>
        <v>0</v>
      </c>
      <c r="I15" s="11">
        <f>D15*IFERROR(VLOOKUP(A15,Jugadores_Contratos!$A:$D,4,0),0)</f>
        <v>0</v>
      </c>
      <c r="J15" s="11">
        <f>E15*IFERROR(VLOOKUP(A15,Jugadores_Contratos!$A:$E,5,0),0)</f>
        <v>0</v>
      </c>
      <c r="K15" s="11">
        <f>F15*IFERROR(VLOOKUP(A15,Jugadores_Contratos!$A:$F,6,0),0)</f>
        <v>0</v>
      </c>
      <c r="L15" s="11">
        <f>G15*IFERROR(VLOOKUP(A15,Jugadores_Contratos!$A:$G,7,0),0)</f>
        <v>60000</v>
      </c>
      <c r="M15" s="11">
        <f>(C15+D15+E15)*IFERROR(VLOOKUP(A15,Jugadores_Contratos!$A:$H,8,0),0)</f>
        <v>75000</v>
      </c>
      <c r="N15" s="11">
        <f t="shared" si="1"/>
        <v>135000</v>
      </c>
    </row>
    <row r="16" ht="22.5" customHeight="1">
      <c r="A16" s="9" t="s">
        <v>80</v>
      </c>
      <c r="B16" s="11" t="str">
        <f>IFERROR(VLOOKUP(A16,Jugadores_Contratos!$A:$B,2,0),"")</f>
        <v>X Fecha</v>
      </c>
      <c r="C16" s="11">
        <f>COUNTIFS(Dashboard_Data!$E$2:$E$1000,A16,Dashboard_Data!$F$2:$F$1000,"T",Dashboard_Data!$A$2:$A$1000,"&gt;="&amp;Config!$B$2,Dashboard_Data!$A$2:$A$1000,"&lt;="&amp;Config!$B$3)
+COUNTIFS(Dashboard_Data!$E$2:$E$1000,A16,Dashboard_Data!$F$2:$F$1000,"T, A",Dashboard_Data!$A$2:$A$1000,"&gt;="&amp;Config!$B$2,Dashboard_Data!$A$2:$A$1000,"&lt;="&amp;Config!$B$3)</f>
        <v>3</v>
      </c>
      <c r="D16" s="11">
        <f>COUNTIFS(Dashboard_Data!$E$2:$E$1000,A16,Dashboard_Data!$F$2:$F$1000,"S",Dashboard_Data!$A$2:$A$1000,"&gt;="&amp;Config!$B$2,Dashboard_Data!$A$2:$A$1000,"&lt;="&amp;Config!$B$3)+COUNTIFS(Dashboard_Data!$E$2:$E$1000,A16,Dashboard_Data!$F$2:$F$1000,"S, A",Dashboard_Data!$A$2:$A$1000,"&gt;="&amp;Config!$B$2,Dashboard_Data!$A$2:$A$1000,"&lt;="&amp;Config!$B$3)</f>
        <v>0</v>
      </c>
      <c r="E16" s="11">
        <f>COUNTIFS(Dashboard_Data!$E$2:$E$1000,A16,Dashboard_Data!$F$2:$F$1000,"S/con minutos",Dashboard_Data!$A$2:$A$1000,"&gt;="&amp;Config!$B$2,Dashboard_Data!$A$2:$A$1000,"&lt;="&amp;Config!$B$3) + COUNTIFS(Dashboard_Data!$E$2:$E$1000,A16,Dashboard_Data!$F$2:$F$1000,"S/con minutos, A",Dashboard_Data!$A$2:$A$1000,"&gt;="&amp;Config!$B$2,Dashboard_Data!$A$2:$A$1000,"&lt;="&amp;Config!$B$3)</f>
        <v>0</v>
      </c>
      <c r="F16" s="11">
        <f>SUMIFS(Dashboard_Data!$G$2:$G$1000,Dashboard_Data!$E$2:$E$1000,A16,Dashboard_Data!$A$2:$A$1000,"&gt;="&amp;Config!$B$2,Dashboard_Data!$A$2:$A$1000,"&lt;="&amp;Config!$B$3)</f>
        <v>1</v>
      </c>
      <c r="G16" s="9">
        <f>COUNTIFS(Dashboard_Data!$E$2:$E$1000,A16,Dashboard_Data!$D$2:$D$1000,"SI",Dashboard_Data!$F$2:$F$1000,"T, A",Dashboard_Data!$A$2:$A$1000,"&gt;="&amp;Config!$B$2,Dashboard_Data!$A$2:$A$1000,"&lt;="&amp;Config!$B$3)+ +COUNTIFS(Dashboard_Data!$E$2:$E$1000,A16,Dashboard_Data!$D$2:$D$1000,"SI",Dashboard_Data!$F$2:$F$1000,"S/con minutos, A",Dashboard_Data!$A$2:$A$1000,"&gt;="&amp;Config!$B$2,Dashboard_Data!$A$2:$A$1000,"&lt;="&amp;Config!$B$3)</f>
        <v>0</v>
      </c>
      <c r="H16" s="11">
        <f>C16*IFERROR(VLOOKUP(A16,Jugadores_Contratos!$A:$C,3,0),0)</f>
        <v>300000</v>
      </c>
      <c r="I16" s="11">
        <f>D16*IFERROR(VLOOKUP(A16,Jugadores_Contratos!$A:$D,4,0),0)</f>
        <v>0</v>
      </c>
      <c r="J16" s="11">
        <f>E16*IFERROR(VLOOKUP(A16,Jugadores_Contratos!$A:$E,5,0),0)</f>
        <v>0</v>
      </c>
      <c r="K16" s="11">
        <f>F16*IFERROR(VLOOKUP(A16,Jugadores_Contratos!$A:$F,6,0),0)</f>
        <v>20000</v>
      </c>
      <c r="L16" s="11">
        <f>G16*IFERROR(VLOOKUP(A16,Jugadores_Contratos!$A:$G,7,0),0)</f>
        <v>0</v>
      </c>
      <c r="M16" s="11">
        <f>(C16+D16+E16)*IFERROR(VLOOKUP(A16,Jugadores_Contratos!$A:$H,8,0),0)</f>
        <v>0</v>
      </c>
      <c r="N16" s="11">
        <f t="shared" si="1"/>
        <v>320000</v>
      </c>
    </row>
    <row r="17" ht="22.5" customHeight="1">
      <c r="A17" s="9" t="s">
        <v>81</v>
      </c>
      <c r="B17" s="11" t="str">
        <f>IFERROR(VLOOKUP(A17,Jugadores_Contratos!$A:$B,2,0),"")</f>
        <v>X Fecha</v>
      </c>
      <c r="C17" s="11">
        <f>COUNTIFS(Dashboard_Data!$E$2:$E$1000,A17,Dashboard_Data!$F$2:$F$1000,"T",Dashboard_Data!$A$2:$A$1000,"&gt;="&amp;Config!$B$2,Dashboard_Data!$A$2:$A$1000,"&lt;="&amp;Config!$B$3)
+COUNTIFS(Dashboard_Data!$E$2:$E$1000,A17,Dashboard_Data!$F$2:$F$1000,"T, A",Dashboard_Data!$A$2:$A$1000,"&gt;="&amp;Config!$B$2,Dashboard_Data!$A$2:$A$1000,"&lt;="&amp;Config!$B$3)</f>
        <v>2</v>
      </c>
      <c r="D17" s="11">
        <f>COUNTIFS(Dashboard_Data!$E$2:$E$1000,A17,Dashboard_Data!$F$2:$F$1000,"S",Dashboard_Data!$A$2:$A$1000,"&gt;="&amp;Config!$B$2,Dashboard_Data!$A$2:$A$1000,"&lt;="&amp;Config!$B$3)+COUNTIFS(Dashboard_Data!$E$2:$E$1000,A17,Dashboard_Data!$F$2:$F$1000,"S, A",Dashboard_Data!$A$2:$A$1000,"&gt;="&amp;Config!$B$2,Dashboard_Data!$A$2:$A$1000,"&lt;="&amp;Config!$B$3)</f>
        <v>0</v>
      </c>
      <c r="E17" s="11">
        <f>COUNTIFS(Dashboard_Data!$E$2:$E$1000,A17,Dashboard_Data!$F$2:$F$1000,"S/con minutos",Dashboard_Data!$A$2:$A$1000,"&gt;="&amp;Config!$B$2,Dashboard_Data!$A$2:$A$1000,"&lt;="&amp;Config!$B$3) + COUNTIFS(Dashboard_Data!$E$2:$E$1000,A17,Dashboard_Data!$F$2:$F$1000,"S/con minutos, A",Dashboard_Data!$A$2:$A$1000,"&gt;="&amp;Config!$B$2,Dashboard_Data!$A$2:$A$1000,"&lt;="&amp;Config!$B$3)</f>
        <v>0</v>
      </c>
      <c r="F17" s="11">
        <f>SUMIFS(Dashboard_Data!$G$2:$G$1000,Dashboard_Data!$E$2:$E$1000,A17,Dashboard_Data!$A$2:$A$1000,"&gt;="&amp;Config!$B$2,Dashboard_Data!$A$2:$A$1000,"&lt;="&amp;Config!$B$3)</f>
        <v>0</v>
      </c>
      <c r="G17" s="9">
        <f>COUNTIFS(Dashboard_Data!$E$2:$E$1000,A17,Dashboard_Data!$D$2:$D$1000,"SI",Dashboard_Data!$F$2:$F$1000,"T, A",Dashboard_Data!$A$2:$A$1000,"&gt;="&amp;Config!$B$2,Dashboard_Data!$A$2:$A$1000,"&lt;="&amp;Config!$B$3)+ +COUNTIFS(Dashboard_Data!$E$2:$E$1000,A17,Dashboard_Data!$D$2:$D$1000,"SI",Dashboard_Data!$F$2:$F$1000,"S/con minutos, A",Dashboard_Data!$A$2:$A$1000,"&gt;="&amp;Config!$B$2,Dashboard_Data!$A$2:$A$1000,"&lt;="&amp;Config!$B$3)</f>
        <v>0</v>
      </c>
      <c r="H17" s="11">
        <f>C17*IFERROR(VLOOKUP(A17,Jugadores_Contratos!$A:$C,3,0),0)</f>
        <v>200000</v>
      </c>
      <c r="I17" s="11">
        <f>D17*IFERROR(VLOOKUP(A17,Jugadores_Contratos!$A:$D,4,0),0)</f>
        <v>0</v>
      </c>
      <c r="J17" s="11">
        <f>E17*IFERROR(VLOOKUP(A17,Jugadores_Contratos!$A:$E,5,0),0)</f>
        <v>0</v>
      </c>
      <c r="K17" s="11">
        <f>F17*IFERROR(VLOOKUP(A17,Jugadores_Contratos!$A:$F,6,0),0)</f>
        <v>0</v>
      </c>
      <c r="L17" s="11">
        <f>G17*IFERROR(VLOOKUP(A17,Jugadores_Contratos!$A:$G,7,0),0)</f>
        <v>0</v>
      </c>
      <c r="M17" s="11">
        <f>(C17+D17+E17)*IFERROR(VLOOKUP(A17,Jugadores_Contratos!$A:$H,8,0),0)</f>
        <v>0</v>
      </c>
      <c r="N17" s="11">
        <f t="shared" si="1"/>
        <v>200000</v>
      </c>
    </row>
    <row r="18" ht="22.5" customHeight="1">
      <c r="A18" s="11" t="str">
        <f>Jugadores_Contratos!A18</f>
        <v>Nieto Fabio</v>
      </c>
      <c r="B18" s="11" t="str">
        <f>IFERROR(VLOOKUP(A18,Jugadores_Contratos!$A:$B,2,0),"")</f>
        <v>X Fecha</v>
      </c>
      <c r="C18" s="11">
        <f>COUNTIFS(Dashboard_Data!$E$2:$E$1000,A18,Dashboard_Data!$F$2:$F$1000,"T",Dashboard_Data!$A$2:$A$1000,"&gt;="&amp;Config!$B$2,Dashboard_Data!$A$2:$A$1000,"&lt;="&amp;Config!$B$3)
+COUNTIFS(Dashboard_Data!$E$2:$E$1000,A18,Dashboard_Data!$F$2:$F$1000,"T, A",Dashboard_Data!$A$2:$A$1000,"&gt;="&amp;Config!$B$2,Dashboard_Data!$A$2:$A$1000,"&lt;="&amp;Config!$B$3)</f>
        <v>2</v>
      </c>
      <c r="D18" s="11">
        <f>COUNTIFS(Dashboard_Data!$E$2:$E$1000,A18,Dashboard_Data!$F$2:$F$1000,"S",Dashboard_Data!$A$2:$A$1000,"&gt;="&amp;Config!$B$2,Dashboard_Data!$A$2:$A$1000,"&lt;="&amp;Config!$B$3)+COUNTIFS(Dashboard_Data!$E$2:$E$1000,A18,Dashboard_Data!$F$2:$F$1000,"S, A",Dashboard_Data!$A$2:$A$1000,"&gt;="&amp;Config!$B$2,Dashboard_Data!$A$2:$A$1000,"&lt;="&amp;Config!$B$3)</f>
        <v>0</v>
      </c>
      <c r="E18" s="11">
        <f>COUNTIFS(Dashboard_Data!$E$2:$E$1000,A18,Dashboard_Data!$F$2:$F$1000,"S/con minutos",Dashboard_Data!$A$2:$A$1000,"&gt;="&amp;Config!$B$2,Dashboard_Data!$A$2:$A$1000,"&lt;="&amp;Config!$B$3) + COUNTIFS(Dashboard_Data!$E$2:$E$1000,A18,Dashboard_Data!$F$2:$F$1000,"S/con minutos, A",Dashboard_Data!$A$2:$A$1000,"&gt;="&amp;Config!$B$2,Dashboard_Data!$A$2:$A$1000,"&lt;="&amp;Config!$B$3)</f>
        <v>0</v>
      </c>
      <c r="F18" s="11">
        <f>SUMIFS(Dashboard_Data!$G$2:$G$1000,Dashboard_Data!$E$2:$E$1000,A18,Dashboard_Data!$A$2:$A$1000,"&gt;="&amp;Config!$B$2,Dashboard_Data!$A$2:$A$1000,"&lt;="&amp;Config!$B$3)</f>
        <v>0</v>
      </c>
      <c r="G18" s="9">
        <f>COUNTIFS(Dashboard_Data!$E$2:$E$1000,A18,Dashboard_Data!$D$2:$D$1000,"SI",Dashboard_Data!$F$2:$F$1000,"T, A",Dashboard_Data!$A$2:$A$1000,"&gt;="&amp;Config!$B$2,Dashboard_Data!$A$2:$A$1000,"&lt;="&amp;Config!$B$3)+ +COUNTIFS(Dashboard_Data!$E$2:$E$1000,A18,Dashboard_Data!$D$2:$D$1000,"SI",Dashboard_Data!$F$2:$F$1000,"S/con minutos, A",Dashboard_Data!$A$2:$A$1000,"&gt;="&amp;Config!$B$2,Dashboard_Data!$A$2:$A$1000,"&lt;="&amp;Config!$B$3)</f>
        <v>0</v>
      </c>
      <c r="H18" s="11">
        <f>C18*IFERROR(VLOOKUP(A18,Jugadores_Contratos!$A:$C,3,0),0)</f>
        <v>200000</v>
      </c>
      <c r="I18" s="11">
        <f>D18*IFERROR(VLOOKUP(A18,Jugadores_Contratos!$A:$D,4,0),0)</f>
        <v>0</v>
      </c>
      <c r="J18" s="11">
        <f>E18*IFERROR(VLOOKUP(A18,Jugadores_Contratos!$A:$E,5,0),0)</f>
        <v>0</v>
      </c>
      <c r="K18" s="11">
        <f>F18*IFERROR(VLOOKUP(A18,Jugadores_Contratos!$A:$F,6,0),0)</f>
        <v>0</v>
      </c>
      <c r="L18" s="11">
        <f>G18*IFERROR(VLOOKUP(A18,Jugadores_Contratos!$A:$G,7,0),0)</f>
        <v>0</v>
      </c>
      <c r="M18" s="11">
        <f>(C18+D18+E18)*IFERROR(VLOOKUP(A18,Jugadores_Contratos!$A:$H,8,0),0)</f>
        <v>0</v>
      </c>
      <c r="N18" s="11">
        <f t="shared" si="1"/>
        <v>200000</v>
      </c>
    </row>
    <row r="19" ht="22.5" customHeight="1">
      <c r="A19" s="11" t="str">
        <f>Jugadores_Contratos!A19</f>
        <v>Ñañez Ruben</v>
      </c>
      <c r="B19" s="11" t="str">
        <f>IFERROR(VLOOKUP(A19,Jugadores_Contratos!$A:$B,2,0),"")</f>
        <v>X Fecha</v>
      </c>
      <c r="C19" s="11">
        <f>COUNTIFS(Dashboard_Data!$E$2:$E$1000,A19,Dashboard_Data!$F$2:$F$1000,"T",Dashboard_Data!$A$2:$A$1000,"&gt;="&amp;Config!$B$2,Dashboard_Data!$A$2:$A$1000,"&lt;="&amp;Config!$B$3)
+COUNTIFS(Dashboard_Data!$E$2:$E$1000,A19,Dashboard_Data!$F$2:$F$1000,"T, A",Dashboard_Data!$A$2:$A$1000,"&gt;="&amp;Config!$B$2,Dashboard_Data!$A$2:$A$1000,"&lt;="&amp;Config!$B$3)</f>
        <v>3</v>
      </c>
      <c r="D19" s="11">
        <f>COUNTIFS(Dashboard_Data!$E$2:$E$1000,A19,Dashboard_Data!$F$2:$F$1000,"S",Dashboard_Data!$A$2:$A$1000,"&gt;="&amp;Config!$B$2,Dashboard_Data!$A$2:$A$1000,"&lt;="&amp;Config!$B$3)+COUNTIFS(Dashboard_Data!$E$2:$E$1000,A19,Dashboard_Data!$F$2:$F$1000,"S, A",Dashboard_Data!$A$2:$A$1000,"&gt;="&amp;Config!$B$2,Dashboard_Data!$A$2:$A$1000,"&lt;="&amp;Config!$B$3)</f>
        <v>0</v>
      </c>
      <c r="E19" s="11">
        <f>COUNTIFS(Dashboard_Data!$E$2:$E$1000,A19,Dashboard_Data!$F$2:$F$1000,"S/con minutos",Dashboard_Data!$A$2:$A$1000,"&gt;="&amp;Config!$B$2,Dashboard_Data!$A$2:$A$1000,"&lt;="&amp;Config!$B$3) + COUNTIFS(Dashboard_Data!$E$2:$E$1000,A19,Dashboard_Data!$F$2:$F$1000,"S/con minutos, A",Dashboard_Data!$A$2:$A$1000,"&gt;="&amp;Config!$B$2,Dashboard_Data!$A$2:$A$1000,"&lt;="&amp;Config!$B$3)</f>
        <v>0</v>
      </c>
      <c r="F19" s="11">
        <f>SUMIFS(Dashboard_Data!$G$2:$G$1000,Dashboard_Data!$E$2:$E$1000,A19,Dashboard_Data!$A$2:$A$1000,"&gt;="&amp;Config!$B$2,Dashboard_Data!$A$2:$A$1000,"&lt;="&amp;Config!$B$3)</f>
        <v>0</v>
      </c>
      <c r="G19" s="9">
        <f>COUNTIFS(Dashboard_Data!$E$2:$E$1000,A19,Dashboard_Data!$D$2:$D$1000,"SI",Dashboard_Data!$F$2:$F$1000,"T, A",Dashboard_Data!$A$2:$A$1000,"&gt;="&amp;Config!$B$2,Dashboard_Data!$A$2:$A$1000,"&lt;="&amp;Config!$B$3)+ +COUNTIFS(Dashboard_Data!$E$2:$E$1000,A19,Dashboard_Data!$D$2:$D$1000,"SI",Dashboard_Data!$F$2:$F$1000,"S/con minutos, A",Dashboard_Data!$A$2:$A$1000,"&gt;="&amp;Config!$B$2,Dashboard_Data!$A$2:$A$1000,"&lt;="&amp;Config!$B$3)</f>
        <v>0</v>
      </c>
      <c r="H19" s="11">
        <f>C19*IFERROR(VLOOKUP(A19,Jugadores_Contratos!$A:$C,3,0),0)</f>
        <v>300000</v>
      </c>
      <c r="I19" s="11">
        <f>D19*IFERROR(VLOOKUP(A19,Jugadores_Contratos!$A:$D,4,0),0)</f>
        <v>0</v>
      </c>
      <c r="J19" s="11">
        <f>E19*IFERROR(VLOOKUP(A19,Jugadores_Contratos!$A:$E,5,0),0)</f>
        <v>0</v>
      </c>
      <c r="K19" s="11">
        <f>F19*IFERROR(VLOOKUP(A19,Jugadores_Contratos!$A:$F,6,0),0)</f>
        <v>0</v>
      </c>
      <c r="L19" s="11">
        <f>G19*IFERROR(VLOOKUP(A19,Jugadores_Contratos!$A:$G,7,0),0)</f>
        <v>0</v>
      </c>
      <c r="M19" s="11">
        <f>(C19+D19+E19)*IFERROR(VLOOKUP(A19,Jugadores_Contratos!$A:$H,8,0),0)</f>
        <v>0</v>
      </c>
      <c r="N19" s="11">
        <f t="shared" si="1"/>
        <v>300000</v>
      </c>
    </row>
    <row r="20" ht="22.5" customHeight="1">
      <c r="A20" s="11" t="str">
        <f>Jugadores_Contratos!A20</f>
        <v>PAIRETTI Franco</v>
      </c>
      <c r="B20" s="11" t="str">
        <f>IFERROR(VLOOKUP(A20,Jugadores_Contratos!$A:$B,2,0),"")</f>
        <v>X Fecha</v>
      </c>
      <c r="C20" s="11">
        <f>COUNTIFS(Dashboard_Data!$E$2:$E$1000,A20,Dashboard_Data!$F$2:$F$1000,"T",Dashboard_Data!$A$2:$A$1000,"&gt;="&amp;Config!$B$2,Dashboard_Data!$A$2:$A$1000,"&lt;="&amp;Config!$B$3)
+COUNTIFS(Dashboard_Data!$E$2:$E$1000,A20,Dashboard_Data!$F$2:$F$1000,"T, A",Dashboard_Data!$A$2:$A$1000,"&gt;="&amp;Config!$B$2,Dashboard_Data!$A$2:$A$1000,"&lt;="&amp;Config!$B$3)</f>
        <v>1</v>
      </c>
      <c r="D20" s="11">
        <f>COUNTIFS(Dashboard_Data!$E$2:$E$1000,A20,Dashboard_Data!$F$2:$F$1000,"S",Dashboard_Data!$A$2:$A$1000,"&gt;="&amp;Config!$B$2,Dashboard_Data!$A$2:$A$1000,"&lt;="&amp;Config!$B$3)+COUNTIFS(Dashboard_Data!$E$2:$E$1000,A20,Dashboard_Data!$F$2:$F$1000,"S, A",Dashboard_Data!$A$2:$A$1000,"&gt;="&amp;Config!$B$2,Dashboard_Data!$A$2:$A$1000,"&lt;="&amp;Config!$B$3)</f>
        <v>1</v>
      </c>
      <c r="E20" s="11">
        <f>COUNTIFS(Dashboard_Data!$E$2:$E$1000,A20,Dashboard_Data!$F$2:$F$1000,"S/con minutos",Dashboard_Data!$A$2:$A$1000,"&gt;="&amp;Config!$B$2,Dashboard_Data!$A$2:$A$1000,"&lt;="&amp;Config!$B$3) + COUNTIFS(Dashboard_Data!$E$2:$E$1000,A20,Dashboard_Data!$F$2:$F$1000,"S/con minutos, A",Dashboard_Data!$A$2:$A$1000,"&gt;="&amp;Config!$B$2,Dashboard_Data!$A$2:$A$1000,"&lt;="&amp;Config!$B$3)</f>
        <v>0</v>
      </c>
      <c r="F20" s="11">
        <f>SUMIFS(Dashboard_Data!$G$2:$G$1000,Dashboard_Data!$E$2:$E$1000,A20,Dashboard_Data!$A$2:$A$1000,"&gt;="&amp;Config!$B$2,Dashboard_Data!$A$2:$A$1000,"&lt;="&amp;Config!$B$3)</f>
        <v>1</v>
      </c>
      <c r="G20" s="9">
        <f>COUNTIFS(Dashboard_Data!$E$2:$E$1000,A20,Dashboard_Data!$D$2:$D$1000,"SI",Dashboard_Data!$F$2:$F$1000,"T, A",Dashboard_Data!$A$2:$A$1000,"&gt;="&amp;Config!$B$2,Dashboard_Data!$A$2:$A$1000,"&lt;="&amp;Config!$B$3)+ +COUNTIFS(Dashboard_Data!$E$2:$E$1000,A20,Dashboard_Data!$D$2:$D$1000,"SI",Dashboard_Data!$F$2:$F$1000,"S/con minutos, A",Dashboard_Data!$A$2:$A$1000,"&gt;="&amp;Config!$B$2,Dashboard_Data!$A$2:$A$1000,"&lt;="&amp;Config!$B$3)</f>
        <v>0</v>
      </c>
      <c r="H20" s="11">
        <f>C20*IFERROR(VLOOKUP(A20,Jugadores_Contratos!$A:$C,3,0),0)</f>
        <v>120000</v>
      </c>
      <c r="I20" s="11">
        <f>D20*IFERROR(VLOOKUP(A20,Jugadores_Contratos!$A:$D,4,0),0)</f>
        <v>100000</v>
      </c>
      <c r="J20" s="11">
        <f>E20*IFERROR(VLOOKUP(A20,Jugadores_Contratos!$A:$E,5,0),0)</f>
        <v>0</v>
      </c>
      <c r="K20" s="11">
        <f>F20*IFERROR(VLOOKUP(A20,Jugadores_Contratos!$A:$F,6,0),0)</f>
        <v>0</v>
      </c>
      <c r="L20" s="11">
        <f>G20*IFERROR(VLOOKUP(A20,Jugadores_Contratos!$A:$G,7,0),0)</f>
        <v>0</v>
      </c>
      <c r="M20" s="11">
        <f>(C20+D20+E20)*IFERROR(VLOOKUP(A20,Jugadores_Contratos!$A:$H,8,0),0)</f>
        <v>0</v>
      </c>
      <c r="N20" s="11">
        <f t="shared" si="1"/>
        <v>220000</v>
      </c>
    </row>
    <row r="21" ht="22.5" customHeight="1">
      <c r="A21" s="11" t="str">
        <f>Jugadores_Contratos!A21</f>
        <v>POCHETTINO Dante</v>
      </c>
      <c r="B21" s="11" t="str">
        <f>IFERROR(VLOOKUP(A21,Jugadores_Contratos!$A:$B,2,0),"")</f>
        <v>X Fecha</v>
      </c>
      <c r="C21" s="11">
        <f>COUNTIFS(Dashboard_Data!$E$2:$E$1000,A21,Dashboard_Data!$F$2:$F$1000,"T",Dashboard_Data!$A$2:$A$1000,"&gt;="&amp;Config!$B$2,Dashboard_Data!$A$2:$A$1000,"&lt;="&amp;Config!$B$3)
+COUNTIFS(Dashboard_Data!$E$2:$E$1000,A21,Dashboard_Data!$F$2:$F$1000,"T, A",Dashboard_Data!$A$2:$A$1000,"&gt;="&amp;Config!$B$2,Dashboard_Data!$A$2:$A$1000,"&lt;="&amp;Config!$B$3)</f>
        <v>0</v>
      </c>
      <c r="D21" s="11">
        <f>COUNTIFS(Dashboard_Data!$E$2:$E$1000,A21,Dashboard_Data!$F$2:$F$1000,"S",Dashboard_Data!$A$2:$A$1000,"&gt;="&amp;Config!$B$2,Dashboard_Data!$A$2:$A$1000,"&lt;="&amp;Config!$B$3)+COUNTIFS(Dashboard_Data!$E$2:$E$1000,A21,Dashboard_Data!$F$2:$F$1000,"S, A",Dashboard_Data!$A$2:$A$1000,"&gt;="&amp;Config!$B$2,Dashboard_Data!$A$2:$A$1000,"&lt;="&amp;Config!$B$3)</f>
        <v>0</v>
      </c>
      <c r="E21" s="11">
        <f>COUNTIFS(Dashboard_Data!$E$2:$E$1000,A21,Dashboard_Data!$F$2:$F$1000,"S/con minutos",Dashboard_Data!$A$2:$A$1000,"&gt;="&amp;Config!$B$2,Dashboard_Data!$A$2:$A$1000,"&lt;="&amp;Config!$B$3) + COUNTIFS(Dashboard_Data!$E$2:$E$1000,A21,Dashboard_Data!$F$2:$F$1000,"S/con minutos, A",Dashboard_Data!$A$2:$A$1000,"&gt;="&amp;Config!$B$2,Dashboard_Data!$A$2:$A$1000,"&lt;="&amp;Config!$B$3)</f>
        <v>3</v>
      </c>
      <c r="F21" s="11">
        <f>SUMIFS(Dashboard_Data!$G$2:$G$1000,Dashboard_Data!$E$2:$E$1000,A21,Dashboard_Data!$A$2:$A$1000,"&gt;="&amp;Config!$B$2,Dashboard_Data!$A$2:$A$1000,"&lt;="&amp;Config!$B$3)</f>
        <v>0</v>
      </c>
      <c r="G21" s="9">
        <f>COUNTIFS(Dashboard_Data!$E$2:$E$1000,A21,Dashboard_Data!$D$2:$D$1000,"SI",Dashboard_Data!$F$2:$F$1000,"T, A",Dashboard_Data!$A$2:$A$1000,"&gt;="&amp;Config!$B$2,Dashboard_Data!$A$2:$A$1000,"&lt;="&amp;Config!$B$3)+ +COUNTIFS(Dashboard_Data!$E$2:$E$1000,A21,Dashboard_Data!$D$2:$D$1000,"SI",Dashboard_Data!$F$2:$F$1000,"S/con minutos, A",Dashboard_Data!$A$2:$A$1000,"&gt;="&amp;Config!$B$2,Dashboard_Data!$A$2:$A$1000,"&lt;="&amp;Config!$B$3)</f>
        <v>0</v>
      </c>
      <c r="H21" s="11">
        <f>C21*IFERROR(VLOOKUP(A21,Jugadores_Contratos!$A:$C,3,0),0)</f>
        <v>0</v>
      </c>
      <c r="I21" s="11">
        <f>D21*IFERROR(VLOOKUP(A21,Jugadores_Contratos!$A:$D,4,0),0)</f>
        <v>0</v>
      </c>
      <c r="J21" s="11">
        <f>E21*IFERROR(VLOOKUP(A21,Jugadores_Contratos!$A:$E,5,0),0)</f>
        <v>180000</v>
      </c>
      <c r="K21" s="11">
        <f>F21*IFERROR(VLOOKUP(A21,Jugadores_Contratos!$A:$F,6,0),0)</f>
        <v>0</v>
      </c>
      <c r="L21" s="11">
        <f>G21*IFERROR(VLOOKUP(A21,Jugadores_Contratos!$A:$G,7,0),0)</f>
        <v>0</v>
      </c>
      <c r="M21" s="11">
        <f>(C21+D21+E21)*IFERROR(VLOOKUP(A21,Jugadores_Contratos!$A:$H,8,0),0)</f>
        <v>0</v>
      </c>
      <c r="N21" s="11">
        <f t="shared" si="1"/>
        <v>180000</v>
      </c>
    </row>
    <row r="22">
      <c r="A22" s="12" t="str">
        <f>Jugadores_Contratos!A22</f>
        <v>SANCHEZ Hernan</v>
      </c>
    </row>
    <row r="23">
      <c r="A23" s="12" t="str">
        <f>Jugadores_Contratos!A23</f>
        <v>Vijarra Nahuel</v>
      </c>
    </row>
    <row r="24">
      <c r="A24" s="12" t="str">
        <f>Jugadores_Contratos!A24</f>
        <v>VILLARRUEL Daniel</v>
      </c>
    </row>
    <row r="25">
      <c r="A25" s="12" t="str">
        <f>Jugadores_Contratos!A25</f>
        <v/>
      </c>
    </row>
    <row r="26">
      <c r="A26" s="12" t="str">
        <f>Jugadores_Contratos!A26</f>
        <v/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37.63"/>
    <col customWidth="1" min="3" max="3" width="15.5"/>
    <col customWidth="1" min="4" max="4" width="17.25"/>
    <col customWidth="1" min="5" max="5" width="22.0"/>
    <col customWidth="1" min="6" max="6" width="13.75"/>
    <col customWidth="1" min="7" max="7" width="20.13"/>
    <col customWidth="1" min="8" max="8" width="26.5"/>
    <col customWidth="1" min="9" max="9" width="37.63"/>
    <col customWidth="1" min="10" max="10" width="22.88"/>
  </cols>
  <sheetData>
    <row r="1" ht="22.5" customHeight="1">
      <c r="A1" s="13" t="s">
        <v>63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86</v>
      </c>
      <c r="G1" s="13" t="s">
        <v>87</v>
      </c>
      <c r="H1" s="13" t="s">
        <v>88</v>
      </c>
      <c r="I1" s="13" t="s">
        <v>45</v>
      </c>
      <c r="J1" s="14" t="s">
        <v>89</v>
      </c>
    </row>
    <row r="2" ht="22.5" customHeight="1">
      <c r="A2" s="9" t="s">
        <v>90</v>
      </c>
      <c r="B2" s="15" t="s">
        <v>91</v>
      </c>
      <c r="C2" s="9">
        <v>70000.0</v>
      </c>
      <c r="D2" s="9">
        <v>70000.0</v>
      </c>
      <c r="E2" s="9">
        <v>70000.0</v>
      </c>
      <c r="J2" s="9" t="s">
        <v>92</v>
      </c>
    </row>
    <row r="3" ht="22.5" customHeight="1">
      <c r="A3" s="9" t="s">
        <v>93</v>
      </c>
      <c r="B3" s="15" t="s">
        <v>91</v>
      </c>
      <c r="C3" s="9">
        <v>100000.0</v>
      </c>
      <c r="D3" s="9">
        <v>80000.0</v>
      </c>
      <c r="E3" s="9">
        <v>80000.0</v>
      </c>
      <c r="J3" s="5" t="s">
        <v>94</v>
      </c>
    </row>
    <row r="4" ht="22.5" customHeight="1">
      <c r="A4" s="9" t="s">
        <v>95</v>
      </c>
      <c r="B4" s="15" t="s">
        <v>91</v>
      </c>
      <c r="C4" s="9">
        <v>70000.0</v>
      </c>
      <c r="D4" s="9">
        <v>50000.0</v>
      </c>
      <c r="E4" s="9">
        <v>60000.0</v>
      </c>
      <c r="J4" s="5" t="s">
        <v>96</v>
      </c>
    </row>
    <row r="5" ht="22.5" customHeight="1">
      <c r="A5" s="9" t="s">
        <v>97</v>
      </c>
      <c r="B5" s="15" t="s">
        <v>98</v>
      </c>
      <c r="C5" s="9">
        <v>300000.0</v>
      </c>
      <c r="I5" s="9" t="s">
        <v>99</v>
      </c>
      <c r="J5" s="5" t="s">
        <v>100</v>
      </c>
    </row>
    <row r="6" ht="22.5" customHeight="1">
      <c r="A6" s="9" t="s">
        <v>80</v>
      </c>
      <c r="B6" s="15" t="s">
        <v>91</v>
      </c>
      <c r="C6" s="9">
        <v>100000.0</v>
      </c>
      <c r="D6" s="9">
        <v>80000.0</v>
      </c>
      <c r="E6" s="9">
        <v>90000.0</v>
      </c>
      <c r="F6" s="9">
        <v>20000.0</v>
      </c>
      <c r="J6" s="5" t="s">
        <v>101</v>
      </c>
    </row>
    <row r="7" ht="22.5" customHeight="1">
      <c r="A7" s="5" t="s">
        <v>102</v>
      </c>
      <c r="B7" s="16" t="s">
        <v>103</v>
      </c>
      <c r="C7" s="5"/>
      <c r="D7" s="5"/>
      <c r="E7" s="5"/>
      <c r="F7" s="6"/>
      <c r="G7" s="6"/>
      <c r="H7" s="6"/>
      <c r="I7" s="5"/>
      <c r="J7" s="5"/>
    </row>
    <row r="8" ht="22.5" customHeight="1">
      <c r="A8" s="9" t="s">
        <v>104</v>
      </c>
      <c r="B8" s="15" t="s">
        <v>91</v>
      </c>
      <c r="C8" s="9">
        <v>0.0</v>
      </c>
      <c r="J8" s="6"/>
    </row>
    <row r="9" ht="22.5" customHeight="1">
      <c r="A9" s="5" t="s">
        <v>105</v>
      </c>
      <c r="B9" s="16" t="s">
        <v>103</v>
      </c>
      <c r="C9" s="5"/>
      <c r="D9" s="5"/>
      <c r="E9" s="5"/>
      <c r="F9" s="6"/>
      <c r="G9" s="6"/>
      <c r="H9" s="6"/>
      <c r="I9" s="5"/>
      <c r="J9" s="5"/>
    </row>
    <row r="10" ht="22.5" customHeight="1">
      <c r="A10" s="9" t="s">
        <v>106</v>
      </c>
      <c r="B10" s="15" t="s">
        <v>103</v>
      </c>
      <c r="C10" s="9">
        <v>450000.0</v>
      </c>
      <c r="J10" s="5" t="s">
        <v>107</v>
      </c>
    </row>
    <row r="11" ht="22.5" customHeight="1">
      <c r="A11" s="9" t="s">
        <v>108</v>
      </c>
      <c r="B11" s="15" t="s">
        <v>91</v>
      </c>
      <c r="C11" s="9">
        <v>70000.0</v>
      </c>
      <c r="D11" s="9">
        <v>50000.0</v>
      </c>
      <c r="E11" s="9">
        <v>60000.0</v>
      </c>
      <c r="J11" s="5" t="s">
        <v>109</v>
      </c>
    </row>
    <row r="12" ht="22.5" customHeight="1">
      <c r="A12" s="5" t="s">
        <v>110</v>
      </c>
      <c r="B12" s="16" t="s">
        <v>103</v>
      </c>
      <c r="C12" s="5"/>
      <c r="D12" s="5"/>
      <c r="E12" s="5"/>
      <c r="F12" s="6"/>
      <c r="G12" s="6"/>
      <c r="H12" s="6"/>
      <c r="I12" s="5"/>
      <c r="J12" s="5"/>
    </row>
    <row r="13" ht="22.5" customHeight="1">
      <c r="A13" s="9" t="s">
        <v>111</v>
      </c>
      <c r="B13" s="15" t="s">
        <v>91</v>
      </c>
      <c r="C13" s="9">
        <v>70000.0</v>
      </c>
      <c r="D13" s="9">
        <v>50000.0</v>
      </c>
      <c r="E13" s="9">
        <v>60000.0</v>
      </c>
      <c r="J13" s="5" t="s">
        <v>112</v>
      </c>
    </row>
    <row r="14" ht="22.5" customHeight="1">
      <c r="A14" s="9" t="s">
        <v>113</v>
      </c>
      <c r="B14" s="15" t="s">
        <v>103</v>
      </c>
      <c r="C14" s="9">
        <v>1900000.0</v>
      </c>
      <c r="I14" s="9" t="s">
        <v>114</v>
      </c>
      <c r="J14" s="5" t="s">
        <v>115</v>
      </c>
    </row>
    <row r="15" ht="22.5" customHeight="1">
      <c r="A15" s="9" t="s">
        <v>116</v>
      </c>
      <c r="B15" s="15" t="s">
        <v>91</v>
      </c>
      <c r="C15" s="9">
        <v>200000.0</v>
      </c>
      <c r="D15" s="9">
        <v>200000.0</v>
      </c>
      <c r="E15" s="9">
        <v>200000.0</v>
      </c>
      <c r="G15" s="9">
        <v>30000.0</v>
      </c>
      <c r="H15" s="9">
        <v>25000.0</v>
      </c>
      <c r="I15" s="9" t="s">
        <v>117</v>
      </c>
      <c r="J15" s="17" t="s">
        <v>118</v>
      </c>
    </row>
    <row r="16" ht="22.5" customHeight="1">
      <c r="A16" s="9" t="s">
        <v>119</v>
      </c>
      <c r="B16" s="15" t="s">
        <v>91</v>
      </c>
      <c r="C16" s="9">
        <v>150000.0</v>
      </c>
      <c r="D16" s="9">
        <v>150000.0</v>
      </c>
      <c r="E16" s="9">
        <v>150000.0</v>
      </c>
      <c r="I16" s="9" t="s">
        <v>120</v>
      </c>
      <c r="J16" s="5" t="s">
        <v>121</v>
      </c>
    </row>
    <row r="17" ht="22.5" customHeight="1">
      <c r="A17" s="9" t="s">
        <v>122</v>
      </c>
      <c r="B17" s="15" t="s">
        <v>91</v>
      </c>
      <c r="C17" s="9">
        <v>70000.0</v>
      </c>
      <c r="D17" s="9">
        <v>50000.0</v>
      </c>
      <c r="E17" s="9">
        <v>60000.0</v>
      </c>
      <c r="J17" s="5" t="s">
        <v>123</v>
      </c>
    </row>
    <row r="18" ht="22.5" customHeight="1">
      <c r="A18" s="9" t="s">
        <v>81</v>
      </c>
      <c r="B18" s="15" t="s">
        <v>91</v>
      </c>
      <c r="C18" s="9">
        <v>100000.0</v>
      </c>
      <c r="D18" s="9">
        <v>100000.0</v>
      </c>
      <c r="E18" s="9">
        <v>100000.0</v>
      </c>
      <c r="F18" s="9">
        <v>40000.0</v>
      </c>
      <c r="J18" s="18" t="s">
        <v>124</v>
      </c>
    </row>
    <row r="19" ht="22.5" customHeight="1">
      <c r="A19" s="9" t="s">
        <v>78</v>
      </c>
      <c r="B19" s="15" t="s">
        <v>91</v>
      </c>
      <c r="C19" s="9">
        <v>100000.0</v>
      </c>
      <c r="D19" s="9">
        <v>80000.0</v>
      </c>
      <c r="E19" s="9">
        <v>90000.0</v>
      </c>
      <c r="J19" s="5" t="s">
        <v>125</v>
      </c>
    </row>
    <row r="20" ht="22.5" customHeight="1">
      <c r="A20" s="9" t="s">
        <v>126</v>
      </c>
      <c r="B20" s="15" t="s">
        <v>91</v>
      </c>
      <c r="C20" s="9">
        <v>120000.0</v>
      </c>
      <c r="D20" s="9">
        <v>100000.0</v>
      </c>
      <c r="E20" s="9">
        <v>110000.0</v>
      </c>
      <c r="J20" s="5" t="s">
        <v>127</v>
      </c>
    </row>
    <row r="21" ht="22.5" customHeight="1">
      <c r="A21" s="9" t="s">
        <v>128</v>
      </c>
      <c r="B21" s="15" t="s">
        <v>91</v>
      </c>
      <c r="C21" s="9">
        <v>70000.0</v>
      </c>
      <c r="D21" s="9">
        <v>50000.0</v>
      </c>
      <c r="E21" s="9">
        <v>60000.0</v>
      </c>
      <c r="J21" s="5" t="s">
        <v>129</v>
      </c>
    </row>
    <row r="22" ht="22.5" customHeight="1">
      <c r="A22" s="9" t="s">
        <v>130</v>
      </c>
      <c r="B22" s="15" t="s">
        <v>103</v>
      </c>
      <c r="C22" s="9">
        <v>1000000.0</v>
      </c>
      <c r="I22" s="9" t="s">
        <v>131</v>
      </c>
      <c r="J22" s="5" t="s">
        <v>132</v>
      </c>
    </row>
    <row r="23" ht="22.5" customHeight="1">
      <c r="A23" s="9" t="s">
        <v>79</v>
      </c>
      <c r="B23" s="15" t="s">
        <v>91</v>
      </c>
      <c r="C23" s="9">
        <v>70000.0</v>
      </c>
      <c r="D23" s="9">
        <v>50000.0</v>
      </c>
      <c r="E23" s="9">
        <v>60000.0</v>
      </c>
      <c r="J23" s="5" t="s">
        <v>133</v>
      </c>
    </row>
    <row r="24" ht="22.5" customHeight="1">
      <c r="A24" s="9" t="s">
        <v>134</v>
      </c>
      <c r="B24" s="15" t="s">
        <v>91</v>
      </c>
      <c r="C24" s="9">
        <v>120000.0</v>
      </c>
      <c r="D24" s="9">
        <v>120000.0</v>
      </c>
      <c r="E24" s="9">
        <v>120000.0</v>
      </c>
      <c r="I24" s="9" t="s">
        <v>135</v>
      </c>
      <c r="J24" s="5" t="s">
        <v>136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25"/>
    <col customWidth="1" min="6" max="6" width="11.5"/>
  </cols>
  <sheetData>
    <row r="1">
      <c r="A1" s="19" t="s">
        <v>137</v>
      </c>
      <c r="B1" s="19" t="s">
        <v>2</v>
      </c>
      <c r="C1" s="19" t="s">
        <v>3</v>
      </c>
      <c r="D1" s="19" t="s">
        <v>4</v>
      </c>
      <c r="E1" s="19" t="s">
        <v>138</v>
      </c>
      <c r="F1" s="19" t="s">
        <v>139</v>
      </c>
      <c r="G1" s="19" t="s">
        <v>68</v>
      </c>
    </row>
    <row r="2">
      <c r="A2" s="20">
        <v>46096.0</v>
      </c>
      <c r="B2" s="19" t="s">
        <v>48</v>
      </c>
      <c r="C2" s="19" t="s">
        <v>49</v>
      </c>
      <c r="D2" s="19" t="s">
        <v>50</v>
      </c>
      <c r="E2" s="19" t="s">
        <v>140</v>
      </c>
      <c r="F2" s="19" t="s">
        <v>51</v>
      </c>
      <c r="G2" s="21">
        <v>0.0</v>
      </c>
    </row>
    <row r="3">
      <c r="A3" s="20">
        <v>46096.0</v>
      </c>
      <c r="B3" s="19" t="s">
        <v>48</v>
      </c>
      <c r="C3" s="19" t="s">
        <v>49</v>
      </c>
      <c r="D3" s="19" t="s">
        <v>50</v>
      </c>
      <c r="E3" s="19" t="s">
        <v>141</v>
      </c>
      <c r="F3" s="19" t="s">
        <v>52</v>
      </c>
      <c r="G3" s="21">
        <v>0.0</v>
      </c>
    </row>
    <row r="4">
      <c r="A4" s="20">
        <v>46096.0</v>
      </c>
      <c r="B4" s="19" t="s">
        <v>48</v>
      </c>
      <c r="C4" s="19" t="s">
        <v>49</v>
      </c>
      <c r="D4" s="19" t="s">
        <v>50</v>
      </c>
      <c r="E4" s="19" t="s">
        <v>78</v>
      </c>
      <c r="F4" s="19" t="s">
        <v>52</v>
      </c>
      <c r="G4" s="21">
        <v>0.0</v>
      </c>
    </row>
    <row r="5">
      <c r="A5" s="20">
        <v>46096.0</v>
      </c>
      <c r="B5" s="19" t="s">
        <v>48</v>
      </c>
      <c r="C5" s="19" t="s">
        <v>49</v>
      </c>
      <c r="D5" s="19" t="s">
        <v>50</v>
      </c>
      <c r="E5" s="19" t="s">
        <v>142</v>
      </c>
      <c r="F5" s="19" t="s">
        <v>52</v>
      </c>
      <c r="G5" s="21">
        <v>0.0</v>
      </c>
    </row>
    <row r="6">
      <c r="A6" s="20">
        <v>46096.0</v>
      </c>
      <c r="B6" s="19" t="s">
        <v>48</v>
      </c>
      <c r="C6" s="19" t="s">
        <v>49</v>
      </c>
      <c r="D6" s="19" t="s">
        <v>50</v>
      </c>
      <c r="E6" s="19" t="s">
        <v>97</v>
      </c>
      <c r="F6" s="19" t="s">
        <v>52</v>
      </c>
      <c r="G6" s="21">
        <v>0.0</v>
      </c>
    </row>
    <row r="7">
      <c r="A7" s="20">
        <v>46096.0</v>
      </c>
      <c r="B7" s="19" t="s">
        <v>48</v>
      </c>
      <c r="C7" s="19" t="s">
        <v>49</v>
      </c>
      <c r="D7" s="19" t="s">
        <v>50</v>
      </c>
      <c r="E7" s="19" t="s">
        <v>143</v>
      </c>
      <c r="F7" s="19" t="s">
        <v>52</v>
      </c>
      <c r="G7" s="21">
        <v>0.0</v>
      </c>
    </row>
    <row r="8">
      <c r="A8" s="20">
        <v>46096.0</v>
      </c>
      <c r="B8" s="19" t="s">
        <v>48</v>
      </c>
      <c r="C8" s="19" t="s">
        <v>49</v>
      </c>
      <c r="D8" s="19" t="s">
        <v>50</v>
      </c>
      <c r="E8" s="19" t="s">
        <v>80</v>
      </c>
      <c r="F8" s="19" t="s">
        <v>52</v>
      </c>
      <c r="G8" s="21">
        <v>0.0</v>
      </c>
    </row>
    <row r="9">
      <c r="A9" s="20">
        <v>46096.0</v>
      </c>
      <c r="B9" s="19" t="s">
        <v>48</v>
      </c>
      <c r="C9" s="19" t="s">
        <v>49</v>
      </c>
      <c r="D9" s="19" t="s">
        <v>50</v>
      </c>
      <c r="E9" s="19" t="s">
        <v>81</v>
      </c>
      <c r="F9" s="19" t="s">
        <v>52</v>
      </c>
      <c r="G9" s="21">
        <v>0.0</v>
      </c>
    </row>
    <row r="10">
      <c r="A10" s="20">
        <v>46096.0</v>
      </c>
      <c r="B10" s="19" t="s">
        <v>48</v>
      </c>
      <c r="C10" s="19" t="s">
        <v>49</v>
      </c>
      <c r="D10" s="19" t="s">
        <v>50</v>
      </c>
      <c r="E10" s="19" t="s">
        <v>113</v>
      </c>
      <c r="F10" s="19" t="s">
        <v>52</v>
      </c>
      <c r="G10" s="21">
        <v>0.0</v>
      </c>
    </row>
    <row r="11">
      <c r="A11" s="20">
        <v>46096.0</v>
      </c>
      <c r="B11" s="19" t="s">
        <v>48</v>
      </c>
      <c r="C11" s="19" t="s">
        <v>49</v>
      </c>
      <c r="D11" s="19" t="s">
        <v>50</v>
      </c>
      <c r="E11" s="19" t="s">
        <v>122</v>
      </c>
      <c r="F11" s="19" t="s">
        <v>52</v>
      </c>
      <c r="G11" s="21">
        <v>0.0</v>
      </c>
    </row>
    <row r="12">
      <c r="A12" s="20">
        <v>46096.0</v>
      </c>
      <c r="B12" s="19" t="s">
        <v>48</v>
      </c>
      <c r="C12" s="19" t="s">
        <v>49</v>
      </c>
      <c r="D12" s="19" t="s">
        <v>50</v>
      </c>
      <c r="E12" s="19" t="s">
        <v>77</v>
      </c>
      <c r="F12" s="19" t="s">
        <v>52</v>
      </c>
      <c r="G12" s="21">
        <v>0.0</v>
      </c>
    </row>
    <row r="13">
      <c r="A13" s="20">
        <v>46096.0</v>
      </c>
      <c r="B13" s="19" t="s">
        <v>48</v>
      </c>
      <c r="C13" s="19" t="s">
        <v>49</v>
      </c>
      <c r="D13" s="19" t="s">
        <v>50</v>
      </c>
      <c r="E13" s="19" t="s">
        <v>144</v>
      </c>
      <c r="F13" s="19" t="s">
        <v>53</v>
      </c>
      <c r="G13" s="21">
        <v>0.0</v>
      </c>
    </row>
    <row r="14">
      <c r="A14" s="20">
        <v>46096.0</v>
      </c>
      <c r="B14" s="19" t="s">
        <v>48</v>
      </c>
      <c r="C14" s="19" t="s">
        <v>49</v>
      </c>
      <c r="D14" s="19" t="s">
        <v>50</v>
      </c>
      <c r="E14" s="19" t="s">
        <v>145</v>
      </c>
      <c r="F14" s="19" t="s">
        <v>54</v>
      </c>
      <c r="G14" s="21">
        <v>0.0</v>
      </c>
    </row>
    <row r="15">
      <c r="A15" s="20">
        <v>46096.0</v>
      </c>
      <c r="B15" s="19" t="s">
        <v>48</v>
      </c>
      <c r="C15" s="19" t="s">
        <v>49</v>
      </c>
      <c r="D15" s="19" t="s">
        <v>50</v>
      </c>
      <c r="E15" s="19" t="s">
        <v>146</v>
      </c>
      <c r="F15" s="19" t="s">
        <v>54</v>
      </c>
      <c r="G15" s="21">
        <v>0.0</v>
      </c>
    </row>
    <row r="16">
      <c r="A16" s="20">
        <v>46096.0</v>
      </c>
      <c r="B16" s="19" t="s">
        <v>48</v>
      </c>
      <c r="C16" s="19" t="s">
        <v>49</v>
      </c>
      <c r="D16" s="19" t="s">
        <v>50</v>
      </c>
      <c r="E16" s="19" t="s">
        <v>108</v>
      </c>
      <c r="F16" s="19" t="s">
        <v>54</v>
      </c>
      <c r="G16" s="21">
        <v>0.0</v>
      </c>
    </row>
    <row r="17">
      <c r="A17" s="20">
        <v>46096.0</v>
      </c>
      <c r="B17" s="19" t="s">
        <v>48</v>
      </c>
      <c r="C17" s="19" t="s">
        <v>49</v>
      </c>
      <c r="D17" s="19" t="s">
        <v>50</v>
      </c>
      <c r="E17" s="19" t="s">
        <v>147</v>
      </c>
      <c r="F17" s="19" t="s">
        <v>53</v>
      </c>
      <c r="G17" s="21">
        <v>0.0</v>
      </c>
    </row>
    <row r="18">
      <c r="A18" s="20">
        <v>46096.0</v>
      </c>
      <c r="B18" s="19" t="s">
        <v>48</v>
      </c>
      <c r="C18" s="19" t="s">
        <v>49</v>
      </c>
      <c r="D18" s="19" t="s">
        <v>50</v>
      </c>
      <c r="E18" s="19" t="s">
        <v>148</v>
      </c>
      <c r="F18" s="19" t="s">
        <v>54</v>
      </c>
      <c r="G18" s="21">
        <v>0.0</v>
      </c>
    </row>
    <row r="19">
      <c r="A19" s="20">
        <v>46099.0</v>
      </c>
      <c r="B19" s="19" t="s">
        <v>55</v>
      </c>
      <c r="C19" s="19" t="s">
        <v>56</v>
      </c>
      <c r="D19" s="19" t="s">
        <v>50</v>
      </c>
      <c r="E19" s="19" t="s">
        <v>140</v>
      </c>
      <c r="F19" s="19" t="s">
        <v>51</v>
      </c>
      <c r="G19" s="21">
        <v>0.0</v>
      </c>
    </row>
    <row r="20">
      <c r="A20" s="20">
        <v>46099.0</v>
      </c>
      <c r="B20" s="19" t="s">
        <v>55</v>
      </c>
      <c r="C20" s="19" t="s">
        <v>56</v>
      </c>
      <c r="D20" s="19" t="s">
        <v>50</v>
      </c>
      <c r="E20" s="19" t="s">
        <v>141</v>
      </c>
      <c r="F20" s="19" t="s">
        <v>52</v>
      </c>
      <c r="G20" s="21">
        <v>0.0</v>
      </c>
    </row>
    <row r="21">
      <c r="A21" s="20">
        <v>46099.0</v>
      </c>
      <c r="B21" s="19" t="s">
        <v>55</v>
      </c>
      <c r="C21" s="19" t="s">
        <v>56</v>
      </c>
      <c r="D21" s="19" t="s">
        <v>50</v>
      </c>
      <c r="E21" s="19" t="s">
        <v>78</v>
      </c>
      <c r="F21" s="19" t="s">
        <v>52</v>
      </c>
      <c r="G21" s="21">
        <v>0.0</v>
      </c>
    </row>
    <row r="22">
      <c r="A22" s="20">
        <v>46099.0</v>
      </c>
      <c r="B22" s="19" t="s">
        <v>55</v>
      </c>
      <c r="C22" s="19" t="s">
        <v>56</v>
      </c>
      <c r="D22" s="19" t="s">
        <v>50</v>
      </c>
      <c r="E22" s="19" t="s">
        <v>142</v>
      </c>
      <c r="F22" s="19" t="s">
        <v>52</v>
      </c>
      <c r="G22" s="21">
        <v>0.0</v>
      </c>
    </row>
    <row r="23">
      <c r="A23" s="20">
        <v>46099.0</v>
      </c>
      <c r="B23" s="19" t="s">
        <v>55</v>
      </c>
      <c r="C23" s="19" t="s">
        <v>56</v>
      </c>
      <c r="D23" s="19" t="s">
        <v>50</v>
      </c>
      <c r="E23" s="19" t="s">
        <v>97</v>
      </c>
      <c r="F23" s="19" t="s">
        <v>52</v>
      </c>
      <c r="G23" s="21">
        <v>0.0</v>
      </c>
    </row>
    <row r="24">
      <c r="A24" s="20">
        <v>46099.0</v>
      </c>
      <c r="B24" s="19" t="s">
        <v>55</v>
      </c>
      <c r="C24" s="19" t="s">
        <v>56</v>
      </c>
      <c r="D24" s="19" t="s">
        <v>50</v>
      </c>
      <c r="E24" s="19" t="s">
        <v>80</v>
      </c>
      <c r="F24" s="19" t="s">
        <v>52</v>
      </c>
      <c r="G24" s="21">
        <v>1.0</v>
      </c>
    </row>
    <row r="25">
      <c r="A25" s="20">
        <v>46099.0</v>
      </c>
      <c r="B25" s="19" t="s">
        <v>55</v>
      </c>
      <c r="C25" s="19" t="s">
        <v>56</v>
      </c>
      <c r="D25" s="19" t="s">
        <v>50</v>
      </c>
      <c r="E25" s="19" t="s">
        <v>81</v>
      </c>
      <c r="F25" s="19" t="s">
        <v>52</v>
      </c>
      <c r="G25" s="21">
        <v>0.0</v>
      </c>
    </row>
    <row r="26">
      <c r="A26" s="20">
        <v>46099.0</v>
      </c>
      <c r="B26" s="19" t="s">
        <v>55</v>
      </c>
      <c r="C26" s="19" t="s">
        <v>56</v>
      </c>
      <c r="D26" s="19" t="s">
        <v>50</v>
      </c>
      <c r="E26" s="19" t="s">
        <v>113</v>
      </c>
      <c r="F26" s="19" t="s">
        <v>52</v>
      </c>
      <c r="G26" s="21">
        <v>0.0</v>
      </c>
    </row>
    <row r="27">
      <c r="A27" s="20">
        <v>46099.0</v>
      </c>
      <c r="B27" s="19" t="s">
        <v>55</v>
      </c>
      <c r="C27" s="19" t="s">
        <v>56</v>
      </c>
      <c r="D27" s="19" t="s">
        <v>50</v>
      </c>
      <c r="E27" s="19" t="s">
        <v>122</v>
      </c>
      <c r="F27" s="19" t="s">
        <v>52</v>
      </c>
      <c r="G27" s="21">
        <v>0.0</v>
      </c>
    </row>
    <row r="28">
      <c r="A28" s="20">
        <v>46099.0</v>
      </c>
      <c r="B28" s="19" t="s">
        <v>55</v>
      </c>
      <c r="C28" s="19" t="s">
        <v>56</v>
      </c>
      <c r="D28" s="19" t="s">
        <v>50</v>
      </c>
      <c r="E28" s="19" t="s">
        <v>77</v>
      </c>
      <c r="F28" s="19" t="s">
        <v>52</v>
      </c>
      <c r="G28" s="21">
        <v>0.0</v>
      </c>
    </row>
    <row r="29">
      <c r="A29" s="20">
        <v>46099.0</v>
      </c>
      <c r="B29" s="19" t="s">
        <v>55</v>
      </c>
      <c r="C29" s="19" t="s">
        <v>56</v>
      </c>
      <c r="D29" s="19" t="s">
        <v>50</v>
      </c>
      <c r="E29" s="19" t="s">
        <v>145</v>
      </c>
      <c r="F29" s="19" t="s">
        <v>54</v>
      </c>
      <c r="G29" s="21">
        <v>0.0</v>
      </c>
    </row>
    <row r="30">
      <c r="A30" s="20">
        <v>46099.0</v>
      </c>
      <c r="B30" s="19" t="s">
        <v>55</v>
      </c>
      <c r="C30" s="19" t="s">
        <v>56</v>
      </c>
      <c r="D30" s="19" t="s">
        <v>50</v>
      </c>
      <c r="E30" s="19" t="s">
        <v>146</v>
      </c>
      <c r="F30" s="19" t="s">
        <v>54</v>
      </c>
      <c r="G30" s="21">
        <v>0.0</v>
      </c>
    </row>
    <row r="31">
      <c r="A31" s="20">
        <v>46099.0</v>
      </c>
      <c r="B31" s="19" t="s">
        <v>55</v>
      </c>
      <c r="C31" s="19" t="s">
        <v>56</v>
      </c>
      <c r="D31" s="19" t="s">
        <v>50</v>
      </c>
      <c r="E31" s="19" t="s">
        <v>108</v>
      </c>
      <c r="F31" s="19" t="s">
        <v>54</v>
      </c>
      <c r="G31" s="21">
        <v>0.0</v>
      </c>
    </row>
    <row r="32">
      <c r="A32" s="20">
        <v>46099.0</v>
      </c>
      <c r="B32" s="19" t="s">
        <v>55</v>
      </c>
      <c r="C32" s="19" t="s">
        <v>56</v>
      </c>
      <c r="D32" s="19" t="s">
        <v>50</v>
      </c>
      <c r="E32" s="19" t="s">
        <v>148</v>
      </c>
      <c r="F32" s="19" t="s">
        <v>52</v>
      </c>
      <c r="G32" s="21">
        <v>0.0</v>
      </c>
    </row>
    <row r="33">
      <c r="A33" s="20">
        <v>46099.0</v>
      </c>
      <c r="B33" s="19" t="s">
        <v>55</v>
      </c>
      <c r="C33" s="19" t="s">
        <v>56</v>
      </c>
      <c r="D33" s="19" t="s">
        <v>50</v>
      </c>
      <c r="E33" s="19" t="s">
        <v>79</v>
      </c>
      <c r="F33" s="19" t="s">
        <v>57</v>
      </c>
      <c r="G33" s="21">
        <v>0.0</v>
      </c>
    </row>
    <row r="34">
      <c r="A34" s="20">
        <v>46099.0</v>
      </c>
      <c r="B34" s="19" t="s">
        <v>55</v>
      </c>
      <c r="C34" s="19" t="s">
        <v>56</v>
      </c>
      <c r="D34" s="19" t="s">
        <v>50</v>
      </c>
      <c r="E34" s="19" t="s">
        <v>149</v>
      </c>
      <c r="F34" s="19" t="s">
        <v>54</v>
      </c>
      <c r="G34" s="21">
        <v>0.0</v>
      </c>
    </row>
    <row r="35">
      <c r="A35" s="20">
        <v>46105.0</v>
      </c>
      <c r="B35" s="19" t="s">
        <v>59</v>
      </c>
      <c r="C35" s="19" t="s">
        <v>56</v>
      </c>
      <c r="D35" s="19" t="s">
        <v>50</v>
      </c>
      <c r="E35" s="19" t="s">
        <v>140</v>
      </c>
      <c r="F35" s="19" t="s">
        <v>52</v>
      </c>
      <c r="G35" s="21">
        <v>0.0</v>
      </c>
    </row>
    <row r="36">
      <c r="A36" s="20">
        <v>46105.0</v>
      </c>
      <c r="B36" s="19" t="s">
        <v>59</v>
      </c>
      <c r="C36" s="19" t="s">
        <v>56</v>
      </c>
      <c r="D36" s="19" t="s">
        <v>50</v>
      </c>
      <c r="E36" s="19" t="s">
        <v>141</v>
      </c>
      <c r="F36" s="19" t="s">
        <v>52</v>
      </c>
      <c r="G36" s="21">
        <v>0.0</v>
      </c>
    </row>
    <row r="37">
      <c r="A37" s="20">
        <v>46105.0</v>
      </c>
      <c r="B37" s="19" t="s">
        <v>59</v>
      </c>
      <c r="C37" s="19" t="s">
        <v>56</v>
      </c>
      <c r="D37" s="19" t="s">
        <v>50</v>
      </c>
      <c r="E37" s="19" t="s">
        <v>78</v>
      </c>
      <c r="F37" s="19" t="s">
        <v>52</v>
      </c>
      <c r="G37" s="21">
        <v>0.0</v>
      </c>
    </row>
    <row r="38">
      <c r="A38" s="20">
        <v>46105.0</v>
      </c>
      <c r="B38" s="19" t="s">
        <v>59</v>
      </c>
      <c r="C38" s="19" t="s">
        <v>56</v>
      </c>
      <c r="D38" s="19" t="s">
        <v>50</v>
      </c>
      <c r="E38" s="19" t="s">
        <v>142</v>
      </c>
      <c r="F38" s="19" t="s">
        <v>52</v>
      </c>
      <c r="G38" s="21">
        <v>0.0</v>
      </c>
    </row>
    <row r="39">
      <c r="A39" s="20">
        <v>46105.0</v>
      </c>
      <c r="B39" s="19" t="s">
        <v>59</v>
      </c>
      <c r="C39" s="19" t="s">
        <v>56</v>
      </c>
      <c r="D39" s="19" t="s">
        <v>50</v>
      </c>
      <c r="E39" s="19" t="s">
        <v>97</v>
      </c>
      <c r="F39" s="19" t="s">
        <v>52</v>
      </c>
      <c r="G39" s="21">
        <v>0.0</v>
      </c>
    </row>
    <row r="40">
      <c r="A40" s="20">
        <v>46105.0</v>
      </c>
      <c r="B40" s="19" t="s">
        <v>59</v>
      </c>
      <c r="C40" s="19" t="s">
        <v>56</v>
      </c>
      <c r="D40" s="19" t="s">
        <v>50</v>
      </c>
      <c r="E40" s="19" t="s">
        <v>143</v>
      </c>
      <c r="F40" s="19" t="s">
        <v>54</v>
      </c>
      <c r="G40" s="21">
        <v>0.0</v>
      </c>
    </row>
    <row r="41">
      <c r="A41" s="20">
        <v>46105.0</v>
      </c>
      <c r="B41" s="19" t="s">
        <v>59</v>
      </c>
      <c r="C41" s="19" t="s">
        <v>56</v>
      </c>
      <c r="D41" s="19" t="s">
        <v>50</v>
      </c>
      <c r="E41" s="19" t="s">
        <v>80</v>
      </c>
      <c r="F41" s="19" t="s">
        <v>52</v>
      </c>
      <c r="G41" s="21">
        <v>0.0</v>
      </c>
    </row>
    <row r="42">
      <c r="A42" s="20">
        <v>46105.0</v>
      </c>
      <c r="B42" s="19" t="s">
        <v>59</v>
      </c>
      <c r="C42" s="19" t="s">
        <v>56</v>
      </c>
      <c r="D42" s="19" t="s">
        <v>50</v>
      </c>
      <c r="E42" s="19" t="s">
        <v>81</v>
      </c>
      <c r="F42" s="19" t="s">
        <v>60</v>
      </c>
      <c r="G42" s="21">
        <v>0.0</v>
      </c>
    </row>
    <row r="43">
      <c r="A43" s="20">
        <v>46105.0</v>
      </c>
      <c r="B43" s="19" t="s">
        <v>59</v>
      </c>
      <c r="C43" s="19" t="s">
        <v>56</v>
      </c>
      <c r="D43" s="19" t="s">
        <v>50</v>
      </c>
      <c r="E43" s="19" t="s">
        <v>113</v>
      </c>
      <c r="F43" s="19" t="s">
        <v>52</v>
      </c>
      <c r="G43" s="21">
        <v>0.0</v>
      </c>
    </row>
    <row r="44">
      <c r="A44" s="20">
        <v>46105.0</v>
      </c>
      <c r="B44" s="19" t="s">
        <v>59</v>
      </c>
      <c r="C44" s="19" t="s">
        <v>56</v>
      </c>
      <c r="D44" s="19" t="s">
        <v>50</v>
      </c>
      <c r="E44" s="19" t="s">
        <v>122</v>
      </c>
      <c r="F44" s="19" t="s">
        <v>52</v>
      </c>
      <c r="G44" s="21">
        <v>2.0</v>
      </c>
    </row>
    <row r="45">
      <c r="A45" s="20">
        <v>46105.0</v>
      </c>
      <c r="B45" s="19" t="s">
        <v>59</v>
      </c>
      <c r="C45" s="19" t="s">
        <v>56</v>
      </c>
      <c r="D45" s="19" t="s">
        <v>50</v>
      </c>
      <c r="E45" s="19" t="s">
        <v>77</v>
      </c>
      <c r="F45" s="19" t="s">
        <v>52</v>
      </c>
      <c r="G45" s="21">
        <v>0.0</v>
      </c>
    </row>
    <row r="46">
      <c r="A46" s="20">
        <v>46105.0</v>
      </c>
      <c r="B46" s="19" t="s">
        <v>59</v>
      </c>
      <c r="C46" s="19" t="s">
        <v>56</v>
      </c>
      <c r="D46" s="19" t="s">
        <v>50</v>
      </c>
      <c r="E46" s="19" t="s">
        <v>144</v>
      </c>
      <c r="F46" s="19" t="s">
        <v>60</v>
      </c>
      <c r="G46" s="21">
        <v>0.0</v>
      </c>
    </row>
    <row r="47">
      <c r="A47" s="20">
        <v>46105.0</v>
      </c>
      <c r="B47" s="19" t="s">
        <v>59</v>
      </c>
      <c r="C47" s="19" t="s">
        <v>56</v>
      </c>
      <c r="D47" s="19" t="s">
        <v>50</v>
      </c>
      <c r="E47" s="19" t="s">
        <v>145</v>
      </c>
      <c r="F47" s="19" t="s">
        <v>52</v>
      </c>
      <c r="G47" s="21">
        <v>0.0</v>
      </c>
    </row>
    <row r="48">
      <c r="A48" s="20">
        <v>46105.0</v>
      </c>
      <c r="B48" s="19" t="s">
        <v>59</v>
      </c>
      <c r="C48" s="19" t="s">
        <v>56</v>
      </c>
      <c r="D48" s="19" t="s">
        <v>50</v>
      </c>
      <c r="E48" s="19" t="s">
        <v>146</v>
      </c>
      <c r="F48" s="19" t="s">
        <v>54</v>
      </c>
      <c r="G48" s="21">
        <v>0.0</v>
      </c>
    </row>
    <row r="49">
      <c r="A49" s="20">
        <v>46105.0</v>
      </c>
      <c r="B49" s="19" t="s">
        <v>59</v>
      </c>
      <c r="C49" s="19" t="s">
        <v>56</v>
      </c>
      <c r="D49" s="19" t="s">
        <v>50</v>
      </c>
      <c r="E49" s="19" t="s">
        <v>108</v>
      </c>
      <c r="F49" s="19" t="s">
        <v>54</v>
      </c>
      <c r="G49" s="21">
        <v>0.0</v>
      </c>
    </row>
    <row r="50">
      <c r="A50" s="20">
        <v>46105.0</v>
      </c>
      <c r="B50" s="19" t="s">
        <v>59</v>
      </c>
      <c r="C50" s="19" t="s">
        <v>56</v>
      </c>
      <c r="D50" s="19" t="s">
        <v>50</v>
      </c>
      <c r="E50" s="19" t="s">
        <v>147</v>
      </c>
      <c r="F50" s="19" t="s">
        <v>52</v>
      </c>
      <c r="G50" s="21">
        <v>1.0</v>
      </c>
    </row>
    <row r="51">
      <c r="A51" s="20">
        <v>46105.0</v>
      </c>
      <c r="B51" s="19" t="s">
        <v>59</v>
      </c>
      <c r="C51" s="19" t="s">
        <v>56</v>
      </c>
      <c r="D51" s="19" t="s">
        <v>50</v>
      </c>
      <c r="E51" s="19" t="s">
        <v>148</v>
      </c>
      <c r="F51" s="19" t="s">
        <v>60</v>
      </c>
      <c r="G51" s="21">
        <v>0.0</v>
      </c>
    </row>
    <row r="52">
      <c r="A52" s="20">
        <v>46105.0</v>
      </c>
      <c r="B52" s="19" t="s">
        <v>59</v>
      </c>
      <c r="C52" s="19" t="s">
        <v>56</v>
      </c>
      <c r="D52" s="19" t="s">
        <v>50</v>
      </c>
      <c r="E52" s="19" t="s">
        <v>79</v>
      </c>
      <c r="F52" s="19" t="s">
        <v>53</v>
      </c>
      <c r="G52" s="21">
        <v>0.0</v>
      </c>
    </row>
    <row r="53">
      <c r="A53" s="20">
        <v>46105.0</v>
      </c>
      <c r="B53" s="19" t="s">
        <v>59</v>
      </c>
      <c r="C53" s="19" t="s">
        <v>56</v>
      </c>
      <c r="D53" s="19" t="s">
        <v>50</v>
      </c>
      <c r="E53" s="19" t="s">
        <v>149</v>
      </c>
      <c r="F53" s="19" t="s">
        <v>54</v>
      </c>
      <c r="G53" s="21">
        <v>0.0</v>
      </c>
    </row>
    <row r="54">
      <c r="A54" s="20">
        <v>46105.0</v>
      </c>
      <c r="B54" s="19" t="s">
        <v>59</v>
      </c>
      <c r="C54" s="19" t="s">
        <v>56</v>
      </c>
      <c r="D54" s="19" t="s">
        <v>50</v>
      </c>
      <c r="E54" s="19" t="s">
        <v>150</v>
      </c>
      <c r="F54" s="19" t="s">
        <v>60</v>
      </c>
      <c r="G54" s="21">
        <v>0.0</v>
      </c>
    </row>
    <row r="55">
      <c r="A55" s="20">
        <v>46105.0</v>
      </c>
      <c r="B55" s="19" t="s">
        <v>59</v>
      </c>
      <c r="C55" s="19" t="s">
        <v>56</v>
      </c>
      <c r="D55" s="19" t="s">
        <v>50</v>
      </c>
      <c r="E55" s="19" t="s">
        <v>151</v>
      </c>
      <c r="F55" s="19" t="s">
        <v>53</v>
      </c>
      <c r="G55" s="2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152</v>
      </c>
      <c r="B1" s="22" t="s">
        <v>153</v>
      </c>
    </row>
    <row r="2">
      <c r="A2" s="22" t="s">
        <v>154</v>
      </c>
      <c r="B2" s="23">
        <f t="array" ref="B2">IF(B1="Año completo",DATE(YEAR(TODAY()),1,1),DATE(YEAR(TODAY()),MATCH(B1,{"Enero";"Febrero";"Marzo";"Abril";"Mayo";"Junio";"Julio";"Agosto";"Septiembre";"Octubre";"Noviembre";"Diciembre"},0),1))</f>
        <v>46082</v>
      </c>
    </row>
    <row r="3">
      <c r="A3" s="22" t="s">
        <v>155</v>
      </c>
      <c r="B3" s="23">
        <f>IF(B1="Año completo",DATE(YEAR(TODAY()),12,31),EOMONTH(B2,0))</f>
        <v>46112</v>
      </c>
    </row>
    <row r="4">
      <c r="A4" s="22"/>
      <c r="B4" s="24"/>
    </row>
  </sheetData>
  <dataValidations>
    <dataValidation type="list" allowBlank="1" showErrorMessage="1" sqref="B1">
      <formula1>"Enero,Febrero,Marzo,Abril,Mayo,Junio,Julio,Agosto,Septiembre,Octubre,Noviembre,Diciembre,Año completo"</formula1>
    </dataValidation>
  </dataValidations>
  <drawing r:id="rId1"/>
</worksheet>
</file>